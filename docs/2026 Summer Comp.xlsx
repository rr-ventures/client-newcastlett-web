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 Comp" sheetId="1" r:id="rId5"/>
    <sheet state="visible" name="Primary Members" sheetId="2" r:id="rId6"/>
    <sheet state="visible" name="Draw" sheetId="3" r:id="rId7"/>
    <sheet state="visible" name="S-Sheets R1" sheetId="4" r:id="rId8"/>
    <sheet state="visible" name="S-Sheets R2" sheetId="5" r:id="rId9"/>
    <sheet state="visible" name="S-Sheets R3" sheetId="6" r:id="rId10"/>
    <sheet state="visible" name="S-Sheets R4" sheetId="7" r:id="rId11"/>
    <sheet state="visible" name="S-Sheets R5" sheetId="8" r:id="rId12"/>
    <sheet state="visible" name="S-Sheets R6" sheetId="9" r:id="rId13"/>
    <sheet state="visible" name="SSheets R7" sheetId="10" r:id="rId14"/>
    <sheet state="visible" name="Teams" sheetId="11" r:id="rId15"/>
    <sheet state="visible" name="Results" sheetId="12" r:id="rId16"/>
    <sheet state="visible" name="All" sheetId="13" r:id="rId17"/>
  </sheets>
  <definedNames>
    <definedName hidden="1" localSheetId="0" name="_xlnm._FilterDatabase">'Summer Comp'!$B$2:$F$26</definedName>
    <definedName hidden="1" localSheetId="12" name="_xlnm._FilterDatabase">All!$A$1:$E$68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tc={b24365ad-8e66-4109-b1cd-3b226f96447f}</author>
  </authors>
  <commentList>
    <comment authorId="0" xr:uid="{b24365ad-8e66-4109-b1cd-3b226f9644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Hi Rich, You forgot Mark Frith again
684±83	Frith, Mark
</t>
      </text>
    </comment>
  </commentList>
</comments>
</file>

<file path=xl/sharedStrings.xml><?xml version="1.0" encoding="utf-8"?>
<sst xmlns="http://schemas.openxmlformats.org/spreadsheetml/2006/main" count="2420" uniqueCount="309">
  <si>
    <t>NEWCASTLE TABLE TENNIS - SUMMER COMP 2026 - From Feb 16 / 18</t>
  </si>
  <si>
    <t xml:space="preserve">PLAYERS </t>
  </si>
  <si>
    <t>RATING</t>
  </si>
  <si>
    <t>PAID $5</t>
  </si>
  <si>
    <t>PAID NSW</t>
  </si>
  <si>
    <t>NOTES</t>
  </si>
  <si>
    <t>RESERVES</t>
  </si>
  <si>
    <t>Williams, Peter</t>
  </si>
  <si>
    <t>Connor, Christina</t>
  </si>
  <si>
    <t>Barrett, Scott</t>
  </si>
  <si>
    <t>Shrestha, Harish</t>
  </si>
  <si>
    <t>Jenkinson, Chris</t>
  </si>
  <si>
    <t>Rhodes, Michael</t>
  </si>
  <si>
    <t>Genet, Richard</t>
  </si>
  <si>
    <t>Share spot</t>
  </si>
  <si>
    <t>Saperas, George</t>
  </si>
  <si>
    <t>Chen, Bo</t>
  </si>
  <si>
    <t>Vine, Gail</t>
  </si>
  <si>
    <t>Williams, John</t>
  </si>
  <si>
    <t>Margetson, Andrew</t>
  </si>
  <si>
    <t>Habib, Farhan</t>
  </si>
  <si>
    <t>Jones, Nathan</t>
  </si>
  <si>
    <t>Roughan, Angela</t>
  </si>
  <si>
    <t>Hubbard, Peter J</t>
  </si>
  <si>
    <t>Lim, Simon</t>
  </si>
  <si>
    <t>Rainer, Reece</t>
  </si>
  <si>
    <t>Primrose, Kyle</t>
  </si>
  <si>
    <t>Cronin, Angela</t>
  </si>
  <si>
    <t>Frith, Mark</t>
  </si>
  <si>
    <t>Coulter, Anthony</t>
  </si>
  <si>
    <t>Amodio, Peter</t>
  </si>
  <si>
    <t>Rank</t>
  </si>
  <si>
    <t>Rating</t>
  </si>
  <si>
    <t>Name</t>
  </si>
  <si>
    <t>ID</t>
  </si>
  <si>
    <t>Last Played</t>
  </si>
  <si>
    <t>1581​±60</t>
  </si>
  <si>
    <t>Lau, Yiu Yat</t>
  </si>
  <si>
    <t>1512​±62</t>
  </si>
  <si>
    <t>1494​±61</t>
  </si>
  <si>
    <t>Malkov, Mark</t>
  </si>
  <si>
    <t>1483​±70</t>
  </si>
  <si>
    <t>1463​±49</t>
  </si>
  <si>
    <t>Graves, Darcy</t>
  </si>
  <si>
    <t>1448​±44</t>
  </si>
  <si>
    <t>Dao, Hung</t>
  </si>
  <si>
    <t>1446​±44</t>
  </si>
  <si>
    <t>Sachdeva, Dheeraj</t>
  </si>
  <si>
    <t>1442​±42</t>
  </si>
  <si>
    <t>Johnston, Yoko</t>
  </si>
  <si>
    <t>1369​±45</t>
  </si>
  <si>
    <t>Tran, Minh Khiem</t>
  </si>
  <si>
    <t>1337​±116</t>
  </si>
  <si>
    <t>Dunlop, Brent</t>
  </si>
  <si>
    <t>1288​±50</t>
  </si>
  <si>
    <t>1282​±64</t>
  </si>
  <si>
    <t>1269​±45</t>
  </si>
  <si>
    <t>He, Ying Helen</t>
  </si>
  <si>
    <t>1215​±50</t>
  </si>
  <si>
    <t>1195​±110</t>
  </si>
  <si>
    <t>Wong, Tsun Hin Alex</t>
  </si>
  <si>
    <t>1193​±46</t>
  </si>
  <si>
    <t>1188​±44</t>
  </si>
  <si>
    <t>1186​±76</t>
  </si>
  <si>
    <t>Triebsees, Thomas</t>
  </si>
  <si>
    <t>1186​±75</t>
  </si>
  <si>
    <t>Nanda, Aarya</t>
  </si>
  <si>
    <t>1184​±48</t>
  </si>
  <si>
    <t>Yap, Chris</t>
  </si>
  <si>
    <t>1171​±145</t>
  </si>
  <si>
    <t>Radwan, Adam</t>
  </si>
  <si>
    <t>1162​±97</t>
  </si>
  <si>
    <t>Hedayati, Paul Mehdi</t>
  </si>
  <si>
    <t>1144​±59</t>
  </si>
  <si>
    <t>1124​±48</t>
  </si>
  <si>
    <t>1117​±69</t>
  </si>
  <si>
    <t>MacLeod, Bow</t>
  </si>
  <si>
    <t>1112​±55</t>
  </si>
  <si>
    <t>1109​±61</t>
  </si>
  <si>
    <t>Gal, Simon</t>
  </si>
  <si>
    <t>1050​±40</t>
  </si>
  <si>
    <t>Warzecha, Tony</t>
  </si>
  <si>
    <t>1019​±55</t>
  </si>
  <si>
    <t>Chang, Alex</t>
  </si>
  <si>
    <t>1006​±41</t>
  </si>
  <si>
    <t>995​±154</t>
  </si>
  <si>
    <t>Saperas, Harry</t>
  </si>
  <si>
    <t>986​±126</t>
  </si>
  <si>
    <t>Cameron, Aaron</t>
  </si>
  <si>
    <t>986​±47</t>
  </si>
  <si>
    <t>965​±78</t>
  </si>
  <si>
    <t>Vine, Joshua</t>
  </si>
  <si>
    <t>939​±46</t>
  </si>
  <si>
    <t>935​±53</t>
  </si>
  <si>
    <t>Fuller, Scott</t>
  </si>
  <si>
    <t>918​±88</t>
  </si>
  <si>
    <t>Tobin, Paul</t>
  </si>
  <si>
    <t>916​±152</t>
  </si>
  <si>
    <t>Thurgate, Martin</t>
  </si>
  <si>
    <t>902​±159</t>
  </si>
  <si>
    <t>Hao, Zheng</t>
  </si>
  <si>
    <t>898​±76</t>
  </si>
  <si>
    <t>Young, Michael</t>
  </si>
  <si>
    <t>892​±53</t>
  </si>
  <si>
    <t>888​±84</t>
  </si>
  <si>
    <t>Howard, Mitchell</t>
  </si>
  <si>
    <t>881​±137</t>
  </si>
  <si>
    <t>Sabella, Henry</t>
  </si>
  <si>
    <t>867​±73</t>
  </si>
  <si>
    <t>Collins, Michael</t>
  </si>
  <si>
    <t>866​±156</t>
  </si>
  <si>
    <t>Gurung, Hemanta</t>
  </si>
  <si>
    <t>852​±89</t>
  </si>
  <si>
    <t>Margetson, Tim</t>
  </si>
  <si>
    <t>808​±98</t>
  </si>
  <si>
    <t>Koppelhuber, Robert</t>
  </si>
  <si>
    <t>807​±48</t>
  </si>
  <si>
    <t>787​±49</t>
  </si>
  <si>
    <t>775​±72</t>
  </si>
  <si>
    <t>Ahmad, Abdullah</t>
  </si>
  <si>
    <t>773​±77</t>
  </si>
  <si>
    <t>Connor, Nathan</t>
  </si>
  <si>
    <t>762​±57</t>
  </si>
  <si>
    <t>Teoh, Shine Yin</t>
  </si>
  <si>
    <t>757​±47</t>
  </si>
  <si>
    <t>Pham, Tuan Huy Dylan</t>
  </si>
  <si>
    <t>733​±47</t>
  </si>
  <si>
    <t>Matthews, Richard</t>
  </si>
  <si>
    <t>715​±48</t>
  </si>
  <si>
    <t>704​±95</t>
  </si>
  <si>
    <t>Chu, Kelvin</t>
  </si>
  <si>
    <t>665​±112</t>
  </si>
  <si>
    <t>Smith, Jayden</t>
  </si>
  <si>
    <t>656​±57</t>
  </si>
  <si>
    <t>Judd, Bruce</t>
  </si>
  <si>
    <t>639​±134</t>
  </si>
  <si>
    <t>Husnain, Mian</t>
  </si>
  <si>
    <t>609​±76</t>
  </si>
  <si>
    <t>Young, Maverick</t>
  </si>
  <si>
    <t>599​±57</t>
  </si>
  <si>
    <t>588​±103</t>
  </si>
  <si>
    <t>Ahmad, Ibraheem</t>
  </si>
  <si>
    <t>557​±110</t>
  </si>
  <si>
    <t>Hartig-Franc, Gabriella</t>
  </si>
  <si>
    <t>547​±98</t>
  </si>
  <si>
    <t>Chang, Tammy</t>
  </si>
  <si>
    <t>490​±74</t>
  </si>
  <si>
    <t>Chang, Evan</t>
  </si>
  <si>
    <t>433​±84</t>
  </si>
  <si>
    <t>Tran, Jimmy</t>
  </si>
  <si>
    <t>406​±85</t>
  </si>
  <si>
    <t>Chang, Zoe</t>
  </si>
  <si>
    <t>821​±54</t>
  </si>
  <si>
    <t>684​±83</t>
  </si>
  <si>
    <t>Round 1 - 15/10</t>
  </si>
  <si>
    <t>Round 2 - 22/10</t>
  </si>
  <si>
    <t>Old 3 - 12/11</t>
  </si>
  <si>
    <t>Old 4 - 5/11</t>
  </si>
  <si>
    <t>Old 5 - 17/11</t>
  </si>
  <si>
    <t>Old 6 - 29/10</t>
  </si>
  <si>
    <t>Old 7 - 22/11</t>
  </si>
  <si>
    <t>TEAM 1</t>
  </si>
  <si>
    <t>TEAM 2</t>
  </si>
  <si>
    <t>TEAM 3</t>
  </si>
  <si>
    <t>TEAM 4</t>
  </si>
  <si>
    <t>TEAM 5</t>
  </si>
  <si>
    <t>TEAM 6</t>
  </si>
  <si>
    <t>TEAM 7</t>
  </si>
  <si>
    <t>TEAM 8</t>
  </si>
  <si>
    <t>Round 3 - 29/10</t>
  </si>
  <si>
    <t>Round 4 - 5/11</t>
  </si>
  <si>
    <t>Round 5 - 12/11</t>
  </si>
  <si>
    <t>Round 6 - 19/11</t>
  </si>
  <si>
    <t>Round 7 - 26/11</t>
  </si>
  <si>
    <t>Finals? - 3/12</t>
  </si>
  <si>
    <t>P1</t>
  </si>
  <si>
    <t>Darcy</t>
  </si>
  <si>
    <t>Peter W</t>
  </si>
  <si>
    <t>Dheeraj?</t>
  </si>
  <si>
    <t>Harish</t>
  </si>
  <si>
    <t>Chris</t>
  </si>
  <si>
    <t>Michael R</t>
  </si>
  <si>
    <t>George</t>
  </si>
  <si>
    <t>Richard G</t>
  </si>
  <si>
    <t>P2</t>
  </si>
  <si>
    <t>Andrew</t>
  </si>
  <si>
    <t>Rohit</t>
  </si>
  <si>
    <t>Reece</t>
  </si>
  <si>
    <t>Farhan</t>
  </si>
  <si>
    <t>John</t>
  </si>
  <si>
    <t>Paula</t>
  </si>
  <si>
    <t>Nathan</t>
  </si>
  <si>
    <t>Bo C</t>
  </si>
  <si>
    <t>P3</t>
  </si>
  <si>
    <t>Jaydon</t>
  </si>
  <si>
    <t>Peter A</t>
  </si>
  <si>
    <t>Richard M?</t>
  </si>
  <si>
    <t>Simon</t>
  </si>
  <si>
    <t>Angela</t>
  </si>
  <si>
    <t>Michael C</t>
  </si>
  <si>
    <t>Kyle</t>
  </si>
  <si>
    <t>Peter H</t>
  </si>
  <si>
    <t>2025 Spring Comp</t>
  </si>
  <si>
    <t>Date:</t>
  </si>
  <si>
    <t>Rnd:</t>
  </si>
  <si>
    <t>Table:</t>
  </si>
  <si>
    <t>HOME TEAM 1</t>
  </si>
  <si>
    <t>AWAY TEAM 8</t>
  </si>
  <si>
    <t>Match</t>
  </si>
  <si>
    <t>Games</t>
  </si>
  <si>
    <t>Points</t>
  </si>
  <si>
    <t>Umpire</t>
  </si>
  <si>
    <t>Player's Name</t>
  </si>
  <si>
    <t>G1</t>
  </si>
  <si>
    <t>G2</t>
  </si>
  <si>
    <t>G3</t>
  </si>
  <si>
    <t>G4</t>
  </si>
  <si>
    <t>G5</t>
  </si>
  <si>
    <t>Winner</t>
  </si>
  <si>
    <t>Home</t>
  </si>
  <si>
    <t>Away</t>
  </si>
  <si>
    <t>D</t>
  </si>
  <si>
    <t>Totals:</t>
  </si>
  <si>
    <t>Winning Team:</t>
  </si>
  <si>
    <t>HOME TEAM 2</t>
  </si>
  <si>
    <t>AWAY TEAM 3</t>
  </si>
  <si>
    <t>HOME TEAM 6</t>
  </si>
  <si>
    <t>AWAY TEAM 7</t>
  </si>
  <si>
    <t>HOME TEAM 4</t>
  </si>
  <si>
    <t>AWAY TEAM 5</t>
  </si>
  <si>
    <t>AWAY TEAM 2</t>
  </si>
  <si>
    <t>HOME TEAM 3</t>
  </si>
  <si>
    <t>AWAY TEAM 4</t>
  </si>
  <si>
    <t>HOME TEAM 5</t>
  </si>
  <si>
    <t>AWAY TEAM 6</t>
  </si>
  <si>
    <t>HOME TEAM 7</t>
  </si>
  <si>
    <t>Away 
Player 3</t>
  </si>
  <si>
    <t>AWAY TEAM 1</t>
  </si>
  <si>
    <t>HOME TEAM 8</t>
  </si>
  <si>
    <t>Mick</t>
  </si>
  <si>
    <t>Line 1</t>
  </si>
  <si>
    <t>Line 2</t>
  </si>
  <si>
    <t>Line 3</t>
  </si>
  <si>
    <t xml:space="preserve">Team Captain </t>
  </si>
  <si>
    <t>Phone</t>
  </si>
  <si>
    <t>Richardson-Rigby, Jaydon</t>
  </si>
  <si>
    <t>0410 171 998</t>
  </si>
  <si>
    <t>Patidar, Rohit</t>
  </si>
  <si>
    <t>Bertram, Paula</t>
  </si>
  <si>
    <t>4983 1114</t>
  </si>
  <si>
    <t>Number his father John</t>
  </si>
  <si>
    <t>04500 023 212</t>
  </si>
  <si>
    <t>0412 771 055</t>
  </si>
  <si>
    <t>0419 288 207</t>
  </si>
  <si>
    <t>Driving Score Sheets</t>
  </si>
  <si>
    <t>0403 527 078</t>
  </si>
  <si>
    <t>Dheep</t>
  </si>
  <si>
    <t>Aarya (R)</t>
  </si>
  <si>
    <t>Mick R</t>
  </si>
  <si>
    <t>Bow (R)</t>
  </si>
  <si>
    <t>Richard</t>
  </si>
  <si>
    <t>0428 372 728</t>
  </si>
  <si>
    <t>0457 535 253</t>
  </si>
  <si>
    <t>Tilly (R)</t>
  </si>
  <si>
    <t>Reserves</t>
  </si>
  <si>
    <t>0425 350 733</t>
  </si>
  <si>
    <t>Bow M (R)</t>
  </si>
  <si>
    <t>Yoko (R)</t>
  </si>
  <si>
    <t>0423 453 327</t>
  </si>
  <si>
    <t>Minh (R)</t>
  </si>
  <si>
    <t>Refer to George</t>
  </si>
  <si>
    <t>Jimmy (R)</t>
  </si>
  <si>
    <t>0449 106 485</t>
  </si>
  <si>
    <t>Richard M</t>
  </si>
  <si>
    <t>Dheeraj</t>
  </si>
  <si>
    <t>0422 386 433</t>
  </si>
  <si>
    <t>0418 680 168</t>
  </si>
  <si>
    <t>Bo</t>
  </si>
  <si>
    <t>Round 1</t>
  </si>
  <si>
    <t>Round 2</t>
  </si>
  <si>
    <t>Round 3</t>
  </si>
  <si>
    <t>Round 4</t>
  </si>
  <si>
    <t>Round 5</t>
  </si>
  <si>
    <t>Round 6</t>
  </si>
  <si>
    <t>Round 7</t>
  </si>
  <si>
    <t>Accumulative</t>
  </si>
  <si>
    <t xml:space="preserve"> Final Results</t>
  </si>
  <si>
    <t>Round 7
Results</t>
  </si>
  <si>
    <t>Matches</t>
  </si>
  <si>
    <t>Position</t>
  </si>
  <si>
    <t>Players Round 7</t>
  </si>
  <si>
    <t>Team 6</t>
  </si>
  <si>
    <t>v</t>
  </si>
  <si>
    <t>Team 1</t>
  </si>
  <si>
    <t>Won on Points</t>
  </si>
  <si>
    <t>Team 2</t>
  </si>
  <si>
    <t>Team 8</t>
  </si>
  <si>
    <t>Team 3</t>
  </si>
  <si>
    <t>Doubles not played</t>
  </si>
  <si>
    <t>Team 4</t>
  </si>
  <si>
    <t>Team 7</t>
  </si>
  <si>
    <t>Team 5</t>
  </si>
  <si>
    <t>Bow</t>
  </si>
  <si>
    <t>Check against Scoresheets</t>
  </si>
  <si>
    <t>Rd 1</t>
  </si>
  <si>
    <t>Rd 2</t>
  </si>
  <si>
    <t>Rd 3</t>
  </si>
  <si>
    <t>Total</t>
  </si>
  <si>
    <t>Yoko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</si>
</sst>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ddd d mmmm yy"/>
  </numFmts>
  <fonts count="4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Trebuchet MS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2.0"/>
      <color theme="1"/>
      <name val="Trebuchet MS"/>
    </font>
    <font>
      <sz val="10.0"/>
      <color theme="1"/>
      <name val="Trebuchet MS"/>
    </font>
    <font>
      <sz val="12.0"/>
      <color rgb="FF000000"/>
      <name val="Trebuchet MS"/>
    </font>
    <font>
      <sz val="10.0"/>
      <color rgb="FF666666"/>
      <name val="Trebuchet MS"/>
    </font>
    <font>
      <sz val="12.0"/>
      <color rgb="FF000000"/>
      <name val="&quot;Trebuchet MS&quot;"/>
    </font>
    <font>
      <color rgb="FF000000"/>
      <name val="Arial"/>
      <scheme val="minor"/>
    </font>
    <font>
      <sz val="11.0"/>
      <color theme="1"/>
      <name val="Arial"/>
      <scheme val="minor"/>
    </font>
    <font>
      <sz val="8.0"/>
      <color theme="1"/>
      <name val="Arial"/>
      <scheme val="minor"/>
    </font>
    <font>
      <b/>
      <sz val="12.0"/>
      <color rgb="FF249BB5"/>
      <name val="Trebuchet MS"/>
    </font>
    <font>
      <color theme="1"/>
      <name val="Arial"/>
    </font>
    <font/>
    <font>
      <b/>
      <sz val="16.0"/>
      <color rgb="FF4285F4"/>
      <name val="Roboto"/>
    </font>
    <font>
      <sz val="13.0"/>
      <color theme="1"/>
      <name val="Calibri"/>
    </font>
    <font>
      <b/>
      <sz val="16.0"/>
      <color rgb="FF4285F4"/>
      <name val="Calibri"/>
    </font>
    <font>
      <sz val="15.0"/>
      <color theme="1"/>
      <name val="Calibri"/>
    </font>
    <font>
      <b/>
      <sz val="15.0"/>
      <color rgb="FF4285F4"/>
      <name val="Arial"/>
    </font>
    <font>
      <b/>
      <sz val="15.0"/>
      <color rgb="FF4285F4"/>
      <name val="Calibri"/>
    </font>
    <font>
      <color rgb="FF000000"/>
      <name val="Arial"/>
    </font>
    <font>
      <b/>
      <sz val="13.0"/>
      <color theme="1"/>
      <name val="Comfortaa"/>
    </font>
    <font>
      <sz val="12.0"/>
      <color theme="1"/>
      <name val="Comfortaa"/>
    </font>
    <font>
      <sz val="12.0"/>
      <color theme="1"/>
      <name val="Arial"/>
    </font>
    <font>
      <sz val="9.0"/>
      <color theme="1"/>
      <name val="Comfortaa"/>
    </font>
    <font>
      <sz val="14.0"/>
      <color theme="1"/>
      <name val="Comfortaa"/>
    </font>
    <font>
      <sz val="14.0"/>
      <color theme="1"/>
      <name val="Arial"/>
    </font>
    <font>
      <sz val="10.0"/>
      <color theme="1"/>
      <name val="Comfortaa"/>
    </font>
    <font>
      <strike/>
      <sz val="14.0"/>
      <color rgb="FFFF0000"/>
      <name val="Comfortaa"/>
    </font>
    <font>
      <strike/>
      <sz val="14.0"/>
      <color theme="1"/>
      <name val="Comfortaa"/>
    </font>
    <font>
      <sz val="13.0"/>
      <color theme="1"/>
      <name val="Comfortaa"/>
    </font>
    <font>
      <sz val="13.0"/>
      <color theme="1"/>
      <name val="Arial"/>
    </font>
    <font>
      <b/>
      <sz val="12.0"/>
      <color theme="1"/>
      <name val="Trebuchet MS"/>
    </font>
    <font>
      <sz val="12.0"/>
      <color rgb="FFFF0000"/>
      <name val="Arial"/>
      <scheme val="minor"/>
    </font>
    <font>
      <b/>
      <color rgb="FFFFFFFF"/>
      <name val="Comfortaa"/>
    </font>
    <font>
      <i/>
      <color theme="1"/>
      <name val="Arial"/>
      <scheme val="minor"/>
    </font>
    <font>
      <i/>
      <color theme="1"/>
      <name val="Arial"/>
    </font>
    <font>
      <color rgb="FF0000FF"/>
      <name val="Arial"/>
      <scheme val="minor"/>
    </font>
    <font>
      <color rgb="FF434343"/>
      <name val="Arial"/>
      <scheme val="minor"/>
    </font>
    <font>
      <color rgb="FFFF0000"/>
      <name val="Arial"/>
      <scheme val="minor"/>
    </font>
    <font>
      <b/>
      <sz val="12.0"/>
      <color rgb="FF249BB5"/>
      <name val="&quot;Trebuchet MS&quot;"/>
    </font>
  </fonts>
  <fills count="12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</fills>
  <borders count="67">
    <border/>
    <border>
      <left style="thin">
        <color rgb="FF000000"/>
      </left>
      <right style="thin">
        <color rgb="FF6FA8DC"/>
      </right>
      <bottom style="thin">
        <color rgb="FF6FA8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000000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top style="thin">
        <color rgb="FF6FA8DC"/>
      </top>
      <bottom style="medium">
        <color rgb="FF6FA8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6FA8DC"/>
      </bottom>
    </border>
    <border>
      <bottom style="medium">
        <color rgb="FF6FA8DC"/>
      </bottom>
    </border>
    <border>
      <left style="thin">
        <color rgb="FF6FA8DC"/>
      </left>
      <right style="thin">
        <color rgb="FF6FA8DC"/>
      </right>
      <bottom style="thin">
        <color rgb="FF6FA8D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4A86E8"/>
      </left>
      <right style="thin">
        <color rgb="FF000000"/>
      </right>
      <top style="thin">
        <color rgb="FF4A86E8"/>
      </top>
      <bottom style="thin">
        <color rgb="FF000000"/>
      </bottom>
    </border>
    <border>
      <left style="thin">
        <color rgb="FF000000"/>
      </left>
      <right style="thin">
        <color rgb="FF4A86E8"/>
      </right>
      <bottom style="thin">
        <color rgb="FF4A86E8"/>
      </bottom>
    </border>
    <border>
      <left style="thin">
        <color rgb="FF4A86E8"/>
      </left>
      <right style="thin">
        <color rgb="FF000000"/>
      </right>
      <bottom style="thin">
        <color rgb="FF4A86E8"/>
      </bottom>
    </border>
    <border>
      <left style="thin">
        <color rgb="FF4A86E8"/>
      </left>
      <right style="thin">
        <color rgb="FF4A86E8"/>
      </right>
      <bottom style="thin">
        <color rgb="FF4A86E8"/>
      </bottom>
    </border>
    <border>
      <left style="thin">
        <color rgb="FF000000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000000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top style="thin">
        <color rgb="FF000000"/>
      </top>
      <bottom style="thin">
        <color rgb="FF000000"/>
      </bottom>
    </border>
    <border>
      <left style="thin">
        <color rgb="FF4A86E8"/>
      </left>
      <bottom style="thin">
        <color rgb="FF4A86E8"/>
      </bottom>
    </border>
    <border>
      <left style="thin">
        <color rgb="FF4A86E8"/>
      </left>
      <top style="thin">
        <color rgb="FF4A86E8"/>
      </top>
      <bottom style="thin">
        <color rgb="FF4A86E8"/>
      </bottom>
    </border>
    <border>
      <left style="thin">
        <color rgb="FF000000"/>
      </left>
      <right style="thin">
        <color rgb="FF4A86E8"/>
      </right>
      <top style="thin">
        <color rgb="FF4A86E8"/>
      </top>
      <bottom style="thin">
        <color rgb="FF000000"/>
      </bottom>
    </border>
    <border>
      <left style="thin">
        <color rgb="FF4A86E8"/>
      </left>
      <top style="thin">
        <color rgb="FF4A86E8"/>
      </top>
      <bottom style="thin">
        <color rgb="FF000000"/>
      </bottom>
    </border>
    <border>
      <right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thin">
        <color rgb="FF4A86E8"/>
      </bottom>
    </border>
    <border>
      <right style="thin">
        <color rgb="FF000000"/>
      </right>
    </border>
    <border>
      <left style="medium">
        <color rgb="FF000000"/>
      </left>
    </border>
    <border>
      <left style="medium">
        <color rgb="FF4A86E8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4A86E8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4A86E8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4A86E8"/>
      </top>
      <bottom style="thin">
        <color rgb="FF4A86E8"/>
      </bottom>
    </border>
    <border>
      <top style="thin">
        <color rgb="FF4A86E8"/>
      </top>
      <bottom style="thin">
        <color rgb="FF4A86E8"/>
      </bottom>
    </border>
    <border>
      <left style="medium">
        <color rgb="FFFF0000"/>
      </left>
      <top style="medium">
        <color rgb="FFFF0000"/>
      </top>
      <bottom style="medium">
        <color rgb="FFFF0000"/>
      </bottom>
    </border>
    <border>
      <top style="medium">
        <color rgb="FFFF0000"/>
      </top>
      <bottom style="medium">
        <color rgb="FFFF0000"/>
      </bottom>
    </border>
    <border>
      <right style="medium">
        <color rgb="FFFF0000"/>
      </right>
      <top style="medium">
        <color rgb="FFFF0000"/>
      </top>
      <bottom style="medium">
        <color rgb="FFFF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4A86E8"/>
      </bottom>
    </border>
    <border>
      <left style="thin">
        <color rgb="FF000000"/>
      </left>
      <top style="thin">
        <color rgb="FF4A86E8"/>
      </top>
      <bottom style="thin">
        <color rgb="FF4A86E8"/>
      </bottom>
    </border>
  </borders>
  <cellStyleXfs count="1">
    <xf borderId="0" fillId="0" fontId="0" numFmtId="0" applyAlignment="1" applyFont="1"/>
  </cellStyleXfs>
  <cellXfs count="2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left" readingOrder="0"/>
    </xf>
    <xf borderId="0" fillId="3" fontId="4" numFmtId="0" xfId="0" applyFill="1" applyFont="1"/>
    <xf borderId="2" fillId="0" fontId="4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2" fillId="0" fontId="3" numFmtId="0" xfId="0" applyAlignment="1" applyBorder="1" applyFont="1">
      <alignment horizontal="center" readingOrder="0"/>
    </xf>
    <xf borderId="4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4" fillId="5" fontId="6" numFmtId="0" xfId="0" applyAlignment="1" applyBorder="1" applyFill="1" applyFont="1">
      <alignment vertical="bottom"/>
    </xf>
    <xf borderId="1" fillId="5" fontId="7" numFmtId="0" xfId="0" applyAlignment="1" applyBorder="1" applyFont="1">
      <alignment horizontal="left" readingOrder="0" vertical="bottom"/>
    </xf>
    <xf borderId="5" fillId="0" fontId="6" numFmtId="0" xfId="0" applyAlignment="1" applyBorder="1" applyFont="1">
      <alignment readingOrder="0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1" fillId="6" fontId="10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11" numFmtId="0" xfId="0" applyAlignment="1" applyFont="1">
      <alignment readingOrder="0"/>
    </xf>
    <xf borderId="6" fillId="0" fontId="6" numFmtId="0" xfId="0" applyAlignment="1" applyBorder="1" applyFont="1">
      <alignment vertical="bottom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7" fillId="6" fontId="14" numFmtId="0" xfId="0" applyAlignment="1" applyBorder="1" applyFont="1">
      <alignment horizontal="center" vertical="bottom"/>
    </xf>
    <xf borderId="8" fillId="6" fontId="14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vertical="bottom"/>
    </xf>
    <xf borderId="9" fillId="0" fontId="15" numFmtId="164" xfId="0" applyAlignment="1" applyBorder="1" applyFont="1" applyNumberFormat="1">
      <alignment horizontal="right" vertical="bottom"/>
    </xf>
    <xf borderId="4" fillId="0" fontId="6" numFmtId="0" xfId="0" applyAlignment="1" applyBorder="1" applyFont="1">
      <alignment horizontal="center" vertical="bottom"/>
    </xf>
    <xf borderId="4" fillId="0" fontId="15" numFmtId="164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vertical="bottom"/>
    </xf>
    <xf borderId="6" fillId="0" fontId="1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10" fillId="0" fontId="16" numFmtId="0" xfId="0" applyBorder="1" applyFont="1"/>
    <xf borderId="3" fillId="0" fontId="4" numFmtId="0" xfId="0" applyAlignment="1" applyBorder="1" applyFont="1">
      <alignment horizontal="center" readingOrder="0"/>
    </xf>
    <xf borderId="3" fillId="6" fontId="4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vertical="bottom"/>
    </xf>
    <xf borderId="12" fillId="0" fontId="6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13" fillId="3" fontId="6" numFmtId="0" xfId="0" applyAlignment="1" applyBorder="1" applyFont="1">
      <alignment horizontal="center" vertical="bottom"/>
    </xf>
    <xf borderId="14" fillId="3" fontId="6" numFmtId="0" xfId="0" applyAlignment="1" applyBorder="1" applyFont="1">
      <alignment horizontal="center" vertical="bottom"/>
    </xf>
    <xf borderId="13" fillId="0" fontId="6" numFmtId="0" xfId="0" applyAlignment="1" applyBorder="1" applyFont="1">
      <alignment horizontal="center" vertical="bottom"/>
    </xf>
    <xf borderId="14" fillId="0" fontId="6" numFmtId="0" xfId="0" applyAlignment="1" applyBorder="1" applyFont="1">
      <alignment horizontal="center" vertical="bottom"/>
    </xf>
    <xf borderId="15" fillId="7" fontId="6" numFmtId="0" xfId="0" applyAlignment="1" applyBorder="1" applyFill="1" applyFont="1">
      <alignment horizontal="center" vertical="bottom"/>
    </xf>
    <xf borderId="15" fillId="0" fontId="6" numFmtId="0" xfId="0" applyAlignment="1" applyBorder="1" applyFont="1">
      <alignment horizontal="center" vertical="bottom"/>
    </xf>
    <xf borderId="16" fillId="3" fontId="6" numFmtId="0" xfId="0" applyAlignment="1" applyBorder="1" applyFont="1">
      <alignment horizontal="center" vertical="bottom"/>
    </xf>
    <xf borderId="17" fillId="3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readingOrder="0" vertical="bottom"/>
    </xf>
    <xf borderId="18" fillId="7" fontId="6" numFmtId="0" xfId="0" applyAlignment="1" applyBorder="1" applyFont="1">
      <alignment horizontal="center" vertical="bottom"/>
    </xf>
    <xf borderId="18" fillId="0" fontId="6" numFmtId="0" xfId="0" applyAlignment="1" applyBorder="1" applyFont="1">
      <alignment horizontal="center" vertical="bottom"/>
    </xf>
    <xf borderId="16" fillId="3" fontId="6" numFmtId="0" xfId="0" applyAlignment="1" applyBorder="1" applyFont="1">
      <alignment horizontal="center" vertical="bottom"/>
    </xf>
    <xf borderId="16" fillId="0" fontId="6" numFmtId="0" xfId="0" applyAlignment="1" applyBorder="1" applyFont="1">
      <alignment horizontal="center" vertical="bottom"/>
    </xf>
    <xf borderId="3" fillId="8" fontId="4" numFmtId="0" xfId="0" applyAlignment="1" applyBorder="1" applyFill="1" applyFont="1">
      <alignment horizontal="center" readingOrder="0"/>
    </xf>
    <xf borderId="3" fillId="2" fontId="4" numFmtId="0" xfId="0" applyAlignment="1" applyBorder="1" applyFont="1">
      <alignment horizontal="center" readingOrder="0"/>
    </xf>
    <xf borderId="13" fillId="8" fontId="6" numFmtId="0" xfId="0" applyAlignment="1" applyBorder="1" applyFont="1">
      <alignment horizontal="center" vertical="bottom"/>
    </xf>
    <xf borderId="14" fillId="8" fontId="6" numFmtId="0" xfId="0" applyAlignment="1" applyBorder="1" applyFont="1">
      <alignment horizontal="center" vertical="bottom"/>
    </xf>
    <xf borderId="13" fillId="2" fontId="6" numFmtId="0" xfId="0" applyAlignment="1" applyBorder="1" applyFont="1">
      <alignment horizontal="center" vertical="bottom"/>
    </xf>
    <xf borderId="14" fillId="2" fontId="6" numFmtId="0" xfId="0" applyAlignment="1" applyBorder="1" applyFont="1">
      <alignment horizontal="center" vertical="bottom"/>
    </xf>
    <xf borderId="13" fillId="2" fontId="6" numFmtId="0" xfId="0" applyAlignment="1" applyBorder="1" applyFont="1">
      <alignment horizontal="center" readingOrder="0" vertical="bottom"/>
    </xf>
    <xf borderId="14" fillId="2" fontId="6" numFmtId="0" xfId="0" applyAlignment="1" applyBorder="1" applyFont="1">
      <alignment horizontal="center" readingOrder="0" vertical="bottom"/>
    </xf>
    <xf borderId="16" fillId="8" fontId="6" numFmtId="0" xfId="0" applyAlignment="1" applyBorder="1" applyFont="1">
      <alignment horizontal="center" vertical="bottom"/>
    </xf>
    <xf borderId="17" fillId="8" fontId="6" numFmtId="0" xfId="0" applyAlignment="1" applyBorder="1" applyFont="1">
      <alignment horizontal="center" vertical="bottom"/>
    </xf>
    <xf borderId="16" fillId="2" fontId="6" numFmtId="0" xfId="0" applyAlignment="1" applyBorder="1" applyFont="1">
      <alignment horizontal="center" vertical="bottom"/>
    </xf>
    <xf borderId="17" fillId="2" fontId="6" numFmtId="0" xfId="0" applyAlignment="1" applyBorder="1" applyFont="1">
      <alignment horizontal="center" vertical="bottom"/>
    </xf>
    <xf borderId="16" fillId="2" fontId="6" numFmtId="0" xfId="0" applyAlignment="1" applyBorder="1" applyFont="1">
      <alignment horizontal="center" readingOrder="0" vertical="bottom"/>
    </xf>
    <xf borderId="17" fillId="2" fontId="6" numFmtId="0" xfId="0" applyAlignment="1" applyBorder="1" applyFont="1">
      <alignment horizontal="center" readingOrder="0" vertical="bottom"/>
    </xf>
    <xf borderId="16" fillId="8" fontId="6" numFmtId="0" xfId="0" applyAlignment="1" applyBorder="1" applyFont="1">
      <alignment horizontal="center" vertical="bottom"/>
    </xf>
    <xf borderId="16" fillId="2" fontId="6" numFmtId="0" xfId="0" applyAlignment="1" applyBorder="1" applyFont="1">
      <alignment horizontal="center" vertical="bottom"/>
    </xf>
    <xf borderId="3" fillId="9" fontId="6" numFmtId="0" xfId="0" applyAlignment="1" applyBorder="1" applyFill="1" applyFont="1">
      <alignment horizontal="center" readingOrder="0" vertical="bottom"/>
    </xf>
    <xf borderId="19" fillId="0" fontId="16" numFmtId="0" xfId="0" applyBorder="1" applyFont="1"/>
    <xf borderId="3" fillId="0" fontId="6" numFmtId="0" xfId="0" applyAlignment="1" applyBorder="1" applyFont="1">
      <alignment horizontal="center" readingOrder="0" vertical="bottom"/>
    </xf>
    <xf borderId="13" fillId="9" fontId="6" numFmtId="0" xfId="0" applyAlignment="1" applyBorder="1" applyFont="1">
      <alignment horizontal="right" readingOrder="0" vertical="bottom"/>
    </xf>
    <xf borderId="20" fillId="9" fontId="6" numFmtId="0" xfId="0" applyAlignment="1" applyBorder="1" applyFont="1">
      <alignment readingOrder="0" vertical="bottom"/>
    </xf>
    <xf borderId="13" fillId="0" fontId="6" numFmtId="0" xfId="0" applyAlignment="1" applyBorder="1" applyFont="1">
      <alignment horizontal="right" readingOrder="0" vertical="bottom"/>
    </xf>
    <xf borderId="20" fillId="0" fontId="6" numFmtId="0" xfId="0" applyAlignment="1" applyBorder="1" applyFont="1">
      <alignment readingOrder="0" vertical="bottom"/>
    </xf>
    <xf borderId="14" fillId="0" fontId="6" numFmtId="0" xfId="0" applyAlignment="1" applyBorder="1" applyFont="1">
      <alignment readingOrder="0" vertical="bottom"/>
    </xf>
    <xf borderId="16" fillId="9" fontId="6" numFmtId="0" xfId="0" applyAlignment="1" applyBorder="1" applyFont="1">
      <alignment horizontal="right" readingOrder="0" vertical="bottom"/>
    </xf>
    <xf borderId="21" fillId="9" fontId="6" numFmtId="0" xfId="0" applyAlignment="1" applyBorder="1" applyFont="1">
      <alignment readingOrder="0" vertical="bottom"/>
    </xf>
    <xf borderId="16" fillId="0" fontId="6" numFmtId="0" xfId="0" applyAlignment="1" applyBorder="1" applyFont="1">
      <alignment horizontal="right" readingOrder="0" vertical="bottom"/>
    </xf>
    <xf borderId="21" fillId="0" fontId="6" numFmtId="0" xfId="0" applyAlignment="1" applyBorder="1" applyFont="1">
      <alignment readingOrder="0" vertical="bottom"/>
    </xf>
    <xf borderId="17" fillId="0" fontId="6" numFmtId="0" xfId="0" applyAlignment="1" applyBorder="1" applyFont="1">
      <alignment readingOrder="0" vertical="bottom"/>
    </xf>
    <xf borderId="22" fillId="9" fontId="6" numFmtId="0" xfId="0" applyAlignment="1" applyBorder="1" applyFont="1">
      <alignment horizontal="right" readingOrder="0" vertical="bottom"/>
    </xf>
    <xf borderId="23" fillId="9" fontId="6" numFmtId="0" xfId="0" applyAlignment="1" applyBorder="1" applyFont="1">
      <alignment readingOrder="0" vertical="bottom"/>
    </xf>
    <xf borderId="22" fillId="0" fontId="6" numFmtId="0" xfId="0" applyAlignment="1" applyBorder="1" applyFont="1">
      <alignment horizontal="right" readingOrder="0" vertical="bottom"/>
    </xf>
    <xf borderId="23" fillId="0" fontId="6" numFmtId="0" xfId="0" applyAlignment="1" applyBorder="1" applyFont="1">
      <alignment readingOrder="0" vertical="bottom"/>
    </xf>
    <xf borderId="12" fillId="0" fontId="6" numFmtId="0" xfId="0" applyAlignment="1" applyBorder="1" applyFont="1">
      <alignment readingOrder="0" vertical="bottom"/>
    </xf>
    <xf borderId="0" fillId="0" fontId="4" numFmtId="0" xfId="0" applyAlignment="1" applyFont="1">
      <alignment vertical="center"/>
    </xf>
    <xf borderId="0" fillId="6" fontId="17" numFmtId="0" xfId="0" applyAlignment="1" applyFont="1">
      <alignment horizontal="center" readingOrder="0" vertical="center"/>
    </xf>
    <xf borderId="24" fillId="0" fontId="16" numFmtId="0" xfId="0" applyBorder="1" applyFont="1"/>
    <xf borderId="0" fillId="0" fontId="18" numFmtId="0" xfId="0" applyAlignment="1" applyFont="1">
      <alignment vertical="center"/>
    </xf>
    <xf borderId="0" fillId="0" fontId="19" numFmtId="165" xfId="0" applyAlignment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right" vertical="center"/>
    </xf>
    <xf borderId="0" fillId="0" fontId="21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5" numFmtId="165" xfId="0" applyAlignment="1" applyFont="1" applyNumberFormat="1">
      <alignment vertical="center"/>
    </xf>
    <xf borderId="0" fillId="0" fontId="22" numFmtId="0" xfId="0" applyAlignment="1" applyFont="1">
      <alignment shrinkToFit="0" vertical="center" wrapText="1"/>
    </xf>
    <xf borderId="0" fillId="0" fontId="15" numFmtId="0" xfId="0" applyAlignment="1" applyFont="1">
      <alignment vertical="bottom"/>
    </xf>
    <xf borderId="0" fillId="6" fontId="23" numFmtId="0" xfId="0" applyAlignment="1" applyFont="1">
      <alignment horizontal="left" shrinkToFit="0" vertical="bottom" wrapText="1"/>
    </xf>
    <xf borderId="0" fillId="0" fontId="24" numFmtId="0" xfId="0" applyAlignment="1" applyFont="1">
      <alignment vertical="center"/>
    </xf>
    <xf borderId="0" fillId="0" fontId="24" numFmtId="0" xfId="0" applyAlignment="1" applyFont="1">
      <alignment readingOrder="0" vertical="center"/>
    </xf>
    <xf borderId="25" fillId="0" fontId="25" numFmtId="0" xfId="0" applyAlignment="1" applyBorder="1" applyFont="1">
      <alignment horizontal="center" vertical="bottom"/>
    </xf>
    <xf borderId="26" fillId="0" fontId="16" numFmtId="0" xfId="0" applyBorder="1" applyFont="1"/>
    <xf borderId="27" fillId="0" fontId="25" numFmtId="0" xfId="0" applyAlignment="1" applyBorder="1" applyFont="1">
      <alignment horizontal="center" vertical="bottom"/>
    </xf>
    <xf borderId="27" fillId="0" fontId="16" numFmtId="0" xfId="0" applyBorder="1" applyFont="1"/>
    <xf borderId="28" fillId="0" fontId="25" numFmtId="0" xfId="0" applyAlignment="1" applyBorder="1" applyFont="1">
      <alignment horizontal="center" vertical="bottom"/>
    </xf>
    <xf borderId="29" fillId="0" fontId="15" numFmtId="0" xfId="0" applyAlignment="1" applyBorder="1" applyFont="1">
      <alignment vertical="bottom"/>
    </xf>
    <xf borderId="30" fillId="0" fontId="25" numFmtId="0" xfId="0" applyAlignment="1" applyBorder="1" applyFont="1">
      <alignment vertical="bottom"/>
    </xf>
    <xf borderId="30" fillId="0" fontId="25" numFmtId="0" xfId="0" applyAlignment="1" applyBorder="1" applyFont="1">
      <alignment horizontal="center" vertical="bottom"/>
    </xf>
    <xf borderId="31" fillId="0" fontId="25" numFmtId="0" xfId="0" applyAlignment="1" applyBorder="1" applyFont="1">
      <alignment horizontal="center" vertical="bottom"/>
    </xf>
    <xf borderId="29" fillId="0" fontId="26" numFmtId="0" xfId="0" applyAlignment="1" applyBorder="1" applyFont="1">
      <alignment vertical="bottom"/>
    </xf>
    <xf borderId="32" fillId="0" fontId="25" numFmtId="0" xfId="0" applyAlignment="1" applyBorder="1" applyFont="1">
      <alignment horizontal="center" vertical="bottom"/>
    </xf>
    <xf borderId="11" fillId="0" fontId="25" numFmtId="0" xfId="0" applyAlignment="1" applyBorder="1" applyFont="1">
      <alignment horizontal="center" vertical="bottom"/>
    </xf>
    <xf borderId="33" fillId="0" fontId="25" numFmtId="0" xfId="0" applyAlignment="1" applyBorder="1" applyFont="1">
      <alignment horizontal="center" vertical="bottom"/>
    </xf>
    <xf borderId="34" fillId="0" fontId="15" numFmtId="0" xfId="0" applyAlignment="1" applyBorder="1" applyFont="1">
      <alignment vertical="bottom"/>
    </xf>
    <xf borderId="35" fillId="0" fontId="27" numFmtId="0" xfId="0" applyAlignment="1" applyBorder="1" applyFont="1">
      <alignment horizontal="center" readingOrder="0" vertical="bottom"/>
    </xf>
    <xf borderId="36" fillId="0" fontId="28" numFmtId="0" xfId="0" applyAlignment="1" applyBorder="1" applyFont="1">
      <alignment readingOrder="0" vertical="bottom"/>
    </xf>
    <xf borderId="36" fillId="0" fontId="26" numFmtId="0" xfId="0" applyAlignment="1" applyBorder="1" applyFont="1">
      <alignment horizontal="right" vertical="bottom"/>
    </xf>
    <xf borderId="11" fillId="0" fontId="15" numFmtId="0" xfId="0" applyAlignment="1" applyBorder="1" applyFont="1">
      <alignment vertical="bottom"/>
    </xf>
    <xf borderId="36" fillId="0" fontId="28" numFmtId="0" xfId="0" applyAlignment="1" applyBorder="1" applyFont="1">
      <alignment vertical="bottom"/>
    </xf>
    <xf borderId="36" fillId="0" fontId="25" numFmtId="0" xfId="0" applyAlignment="1" applyBorder="1" applyFont="1">
      <alignment vertical="bottom"/>
    </xf>
    <xf borderId="11" fillId="0" fontId="26" numFmtId="0" xfId="0" applyAlignment="1" applyBorder="1" applyFont="1">
      <alignment horizontal="right" vertical="bottom"/>
    </xf>
    <xf borderId="33" fillId="0" fontId="26" numFmtId="0" xfId="0" applyAlignment="1" applyBorder="1" applyFont="1">
      <alignment horizontal="right" vertical="bottom"/>
    </xf>
    <xf borderId="34" fillId="0" fontId="26" numFmtId="0" xfId="0" applyAlignment="1" applyBorder="1" applyFont="1">
      <alignment horizontal="right" vertical="bottom"/>
    </xf>
    <xf borderId="36" fillId="0" fontId="15" numFmtId="0" xfId="0" applyAlignment="1" applyBorder="1" applyFont="1">
      <alignment vertical="bottom"/>
    </xf>
    <xf borderId="37" fillId="0" fontId="25" numFmtId="0" xfId="0" applyAlignment="1" applyBorder="1" applyFont="1">
      <alignment vertical="bottom"/>
    </xf>
    <xf borderId="2" fillId="0" fontId="26" numFmtId="0" xfId="0" applyAlignment="1" applyBorder="1" applyFont="1">
      <alignment horizontal="right" vertical="bottom"/>
    </xf>
    <xf borderId="35" fillId="0" fontId="27" numFmtId="0" xfId="0" applyAlignment="1" applyBorder="1" applyFont="1">
      <alignment horizontal="center" vertical="bottom"/>
    </xf>
    <xf borderId="38" fillId="0" fontId="27" numFmtId="0" xfId="0" applyAlignment="1" applyBorder="1" applyFont="1">
      <alignment horizontal="center" vertical="bottom"/>
    </xf>
    <xf borderId="39" fillId="0" fontId="28" numFmtId="0" xfId="0" applyAlignment="1" applyBorder="1" applyFont="1">
      <alignment horizontal="left" vertical="bottom"/>
    </xf>
    <xf borderId="39" fillId="0" fontId="26" numFmtId="0" xfId="0" applyAlignment="1" applyBorder="1" applyFont="1">
      <alignment horizontal="right" vertical="bottom"/>
    </xf>
    <xf borderId="40" fillId="0" fontId="15" numFmtId="0" xfId="0" applyAlignment="1" applyBorder="1" applyFont="1">
      <alignment vertical="bottom"/>
    </xf>
    <xf borderId="41" fillId="0" fontId="15" numFmtId="0" xfId="0" applyAlignment="1" applyBorder="1" applyFont="1">
      <alignment vertical="bottom"/>
    </xf>
    <xf borderId="39" fillId="0" fontId="25" numFmtId="0" xfId="0" applyAlignment="1" applyBorder="1" applyFont="1">
      <alignment vertical="bottom"/>
    </xf>
    <xf borderId="41" fillId="0" fontId="26" numFmtId="0" xfId="0" applyAlignment="1" applyBorder="1" applyFont="1">
      <alignment horizontal="right" vertical="bottom"/>
    </xf>
    <xf borderId="39" fillId="0" fontId="15" numFmtId="0" xfId="0" applyAlignment="1" applyBorder="1" applyFont="1">
      <alignment vertical="bottom"/>
    </xf>
    <xf borderId="42" fillId="0" fontId="25" numFmtId="0" xfId="0" applyAlignment="1" applyBorder="1" applyFont="1">
      <alignment vertical="bottom"/>
    </xf>
    <xf borderId="43" fillId="0" fontId="27" numFmtId="0" xfId="0" applyAlignment="1" applyBorder="1" applyFont="1">
      <alignment horizontal="center" vertical="center"/>
    </xf>
    <xf borderId="44" fillId="0" fontId="25" numFmtId="0" xfId="0" applyAlignment="1" applyBorder="1" applyFont="1">
      <alignment vertical="bottom"/>
    </xf>
    <xf borderId="45" fillId="0" fontId="26" numFmtId="0" xfId="0" applyAlignment="1" applyBorder="1" applyFont="1">
      <alignment horizontal="right" vertical="bottom"/>
    </xf>
    <xf borderId="0" fillId="0" fontId="26" numFmtId="0" xfId="0" applyAlignment="1" applyFont="1">
      <alignment horizontal="right" vertical="bottom"/>
    </xf>
    <xf borderId="46" fillId="0" fontId="25" numFmtId="0" xfId="0" applyAlignment="1" applyBorder="1" applyFont="1">
      <alignment vertical="bottom"/>
    </xf>
    <xf borderId="47" fillId="0" fontId="26" numFmtId="0" xfId="0" applyAlignment="1" applyBorder="1" applyFont="1">
      <alignment horizontal="right" vertical="bottom"/>
    </xf>
    <xf borderId="43" fillId="0" fontId="15" numFmtId="0" xfId="0" applyAlignment="1" applyBorder="1" applyFont="1">
      <alignment vertical="bottom"/>
    </xf>
    <xf borderId="45" fillId="0" fontId="15" numFmtId="0" xfId="0" applyAlignment="1" applyBorder="1" applyFont="1">
      <alignment vertical="bottom"/>
    </xf>
    <xf borderId="48" fillId="0" fontId="15" numFmtId="0" xfId="0" applyAlignment="1" applyBorder="1" applyFont="1">
      <alignment vertical="bottom"/>
    </xf>
    <xf borderId="35" fillId="0" fontId="16" numFmtId="0" xfId="0" applyBorder="1" applyFont="1"/>
    <xf borderId="49" fillId="0" fontId="25" numFmtId="0" xfId="0" applyAlignment="1" applyBorder="1" applyFont="1">
      <alignment vertical="bottom"/>
    </xf>
    <xf borderId="36" fillId="0" fontId="16" numFmtId="0" xfId="0" applyBorder="1" applyFont="1"/>
    <xf borderId="11" fillId="0" fontId="16" numFmtId="0" xfId="0" applyBorder="1" applyFont="1"/>
    <xf borderId="50" fillId="0" fontId="16" numFmtId="0" xfId="0" applyBorder="1" applyFont="1"/>
    <xf borderId="51" fillId="0" fontId="16" numFmtId="0" xfId="0" applyBorder="1" applyFont="1"/>
    <xf borderId="37" fillId="0" fontId="16" numFmtId="0" xfId="0" applyBorder="1" applyFont="1"/>
    <xf borderId="0" fillId="0" fontId="25" numFmtId="0" xfId="0" applyAlignment="1" applyFont="1">
      <alignment horizontal="right" vertical="bottom"/>
    </xf>
    <xf borderId="0" fillId="6" fontId="15" numFmtId="0" xfId="0" applyFont="1"/>
    <xf borderId="0" fillId="6" fontId="15" numFmtId="0" xfId="0" applyAlignment="1" applyFont="1">
      <alignment vertical="bottom"/>
    </xf>
    <xf borderId="11" fillId="0" fontId="25" numFmtId="0" xfId="0" applyAlignment="1" applyBorder="1" applyFont="1">
      <alignment horizontal="right" vertical="bottom"/>
    </xf>
    <xf borderId="0" fillId="0" fontId="28" numFmtId="0" xfId="0" applyAlignment="1" applyFont="1">
      <alignment horizontal="right" vertical="bottom"/>
    </xf>
    <xf borderId="11" fillId="0" fontId="28" numFmtId="0" xfId="0" applyAlignment="1" applyBorder="1" applyFont="1">
      <alignment horizontal="right" vertical="bottom"/>
    </xf>
    <xf borderId="0" fillId="0" fontId="21" numFmtId="0" xfId="0" applyAlignment="1" applyFont="1">
      <alignment horizontal="center" readingOrder="0" vertical="center"/>
    </xf>
    <xf borderId="0" fillId="6" fontId="17" numFmtId="0" xfId="0" applyAlignment="1" applyFont="1">
      <alignment horizontal="center" readingOrder="0" vertical="bottom"/>
    </xf>
    <xf borderId="0" fillId="0" fontId="18" numFmtId="0" xfId="0" applyAlignment="1" applyFont="1">
      <alignment vertical="bottom"/>
    </xf>
    <xf borderId="0" fillId="0" fontId="19" numFmtId="165" xfId="0" applyAlignment="1" applyFont="1" applyNumberFormat="1">
      <alignment horizontal="center" readingOrder="0" shrinkToFit="0" vertical="bottom" wrapText="1"/>
    </xf>
    <xf borderId="0" fillId="0" fontId="20" numFmtId="0" xfId="0" applyAlignment="1" applyFont="1">
      <alignment horizontal="right" vertical="bottom"/>
    </xf>
    <xf borderId="0" fillId="0" fontId="21" numFmtId="0" xfId="0" applyAlignment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15" numFmtId="165" xfId="0" applyAlignment="1" applyFont="1" applyNumberFormat="1">
      <alignment vertical="bottom"/>
    </xf>
    <xf borderId="0" fillId="0" fontId="22" numFmtId="0" xfId="0" applyAlignment="1" applyFont="1">
      <alignment shrinkToFit="0" vertical="bottom" wrapText="1"/>
    </xf>
    <xf borderId="36" fillId="0" fontId="29" numFmtId="0" xfId="0" applyAlignment="1" applyBorder="1" applyFont="1">
      <alignment horizontal="right" vertical="bottom"/>
    </xf>
    <xf borderId="11" fillId="0" fontId="29" numFmtId="0" xfId="0" applyAlignment="1" applyBorder="1" applyFont="1">
      <alignment vertical="bottom"/>
    </xf>
    <xf borderId="35" fillId="0" fontId="30" numFmtId="0" xfId="0" applyAlignment="1" applyBorder="1" applyFont="1">
      <alignment horizontal="center" readingOrder="0" vertical="bottom"/>
    </xf>
    <xf borderId="36" fillId="0" fontId="29" numFmtId="0" xfId="0" applyAlignment="1" applyBorder="1" applyFont="1">
      <alignment vertical="bottom"/>
    </xf>
    <xf borderId="35" fillId="0" fontId="30" numFmtId="0" xfId="0" applyAlignment="1" applyBorder="1" applyFont="1">
      <alignment horizontal="center" vertical="bottom"/>
    </xf>
    <xf borderId="39" fillId="0" fontId="29" numFmtId="0" xfId="0" applyAlignment="1" applyBorder="1" applyFont="1">
      <alignment horizontal="right" vertical="bottom"/>
    </xf>
    <xf borderId="40" fillId="0" fontId="29" numFmtId="0" xfId="0" applyAlignment="1" applyBorder="1" applyFont="1">
      <alignment vertical="bottom"/>
    </xf>
    <xf borderId="38" fillId="0" fontId="30" numFmtId="0" xfId="0" applyAlignment="1" applyBorder="1" applyFont="1">
      <alignment horizontal="center" vertical="bottom"/>
    </xf>
    <xf borderId="30" fillId="0" fontId="28" numFmtId="0" xfId="0" applyAlignment="1" applyBorder="1" applyFont="1">
      <alignment horizontal="center" vertical="bottom"/>
    </xf>
    <xf borderId="36" fillId="0" fontId="31" numFmtId="0" xfId="0" applyAlignment="1" applyBorder="1" applyFont="1">
      <alignment readingOrder="0" vertical="bottom"/>
    </xf>
    <xf borderId="36" fillId="0" fontId="32" numFmtId="0" xfId="0" applyAlignment="1" applyBorder="1" applyFont="1">
      <alignment vertical="bottom"/>
    </xf>
    <xf borderId="36" fillId="0" fontId="32" numFmtId="0" xfId="0" applyAlignment="1" applyBorder="1" applyFont="1">
      <alignment readingOrder="0" vertical="bottom"/>
    </xf>
    <xf borderId="36" fillId="0" fontId="31" numFmtId="0" xfId="0" applyAlignment="1" applyBorder="1" applyFont="1">
      <alignment vertical="bottom"/>
    </xf>
    <xf borderId="43" fillId="0" fontId="30" numFmtId="0" xfId="0" applyAlignment="1" applyBorder="1" applyFont="1">
      <alignment horizontal="center" vertical="center"/>
    </xf>
    <xf borderId="37" fillId="0" fontId="28" numFmtId="0" xfId="0" applyAlignment="1" applyBorder="1" applyFont="1">
      <alignment vertical="bottom"/>
    </xf>
    <xf borderId="42" fillId="0" fontId="28" numFmtId="0" xfId="0" applyAlignment="1" applyBorder="1" applyFont="1">
      <alignment vertical="bottom"/>
    </xf>
    <xf borderId="44" fillId="0" fontId="33" numFmtId="0" xfId="0" applyAlignment="1" applyBorder="1" applyFont="1">
      <alignment vertical="bottom"/>
    </xf>
    <xf borderId="45" fillId="0" fontId="34" numFmtId="0" xfId="0" applyAlignment="1" applyBorder="1" applyFont="1">
      <alignment horizontal="right" vertical="bottom"/>
    </xf>
    <xf borderId="43" fillId="0" fontId="33" numFmtId="0" xfId="0" applyAlignment="1" applyBorder="1" applyFont="1">
      <alignment horizontal="center" vertical="center"/>
    </xf>
    <xf borderId="48" fillId="0" fontId="28" numFmtId="0" xfId="0" applyAlignment="1" applyBorder="1" applyFont="1">
      <alignment readingOrder="0" vertical="bottom"/>
    </xf>
    <xf borderId="49" fillId="0" fontId="33" numFmtId="0" xfId="0" applyAlignment="1" applyBorder="1" applyFont="1">
      <alignment vertical="bottom"/>
    </xf>
    <xf borderId="44" fillId="0" fontId="28" numFmtId="0" xfId="0" applyAlignment="1" applyBorder="1" applyFont="1">
      <alignment vertical="bottom"/>
    </xf>
    <xf borderId="49" fillId="0" fontId="28" numFmtId="0" xfId="0" applyAlignment="1" applyBorder="1" applyFont="1">
      <alignment vertical="bottom"/>
    </xf>
    <xf borderId="36" fillId="0" fontId="28" numFmtId="0" xfId="0" applyAlignment="1" applyBorder="1" applyFont="1">
      <alignment vertical="bottom"/>
    </xf>
    <xf borderId="45" fillId="0" fontId="29" numFmtId="0" xfId="0" applyAlignment="1" applyBorder="1" applyFont="1">
      <alignment horizontal="right" vertical="bottom"/>
    </xf>
    <xf borderId="43" fillId="0" fontId="28" numFmtId="0" xfId="0" applyAlignment="1" applyBorder="1" applyFont="1">
      <alignment horizontal="center" vertical="center"/>
    </xf>
    <xf borderId="39" fillId="0" fontId="28" numFmtId="0" xfId="0" applyAlignment="1" applyBorder="1" applyFont="1">
      <alignment readingOrder="0" vertical="bottom"/>
    </xf>
    <xf borderId="39" fillId="0" fontId="28" numFmtId="0" xfId="0" applyAlignment="1" applyBorder="1" applyFont="1">
      <alignment vertical="bottom"/>
    </xf>
    <xf borderId="21" fillId="0" fontId="6" numFmtId="0" xfId="0" applyAlignment="1" applyBorder="1" applyFont="1">
      <alignment horizontal="center" vertical="bottom"/>
    </xf>
    <xf borderId="52" fillId="0" fontId="16" numFmtId="0" xfId="0" applyBorder="1" applyFont="1"/>
    <xf borderId="53" fillId="0" fontId="16" numFmtId="0" xfId="0" applyBorder="1" applyFont="1"/>
    <xf borderId="11" fillId="0" fontId="4" numFmtId="0" xfId="0" applyBorder="1" applyFont="1"/>
    <xf borderId="2" fillId="0" fontId="12" numFmtId="0" xfId="0" applyAlignment="1" applyBorder="1" applyFont="1">
      <alignment horizontal="center" readingOrder="0"/>
    </xf>
    <xf borderId="18" fillId="0" fontId="35" numFmtId="0" xfId="0" applyAlignment="1" applyBorder="1" applyFont="1">
      <alignment vertical="bottom"/>
    </xf>
    <xf borderId="18" fillId="0" fontId="6" numFmtId="0" xfId="0" applyAlignment="1" applyBorder="1" applyFont="1">
      <alignment vertical="bottom"/>
    </xf>
    <xf borderId="17" fillId="0" fontId="6" numFmtId="0" xfId="0" applyAlignment="1" applyBorder="1" applyFont="1">
      <alignment vertical="bottom"/>
    </xf>
    <xf borderId="21" fillId="0" fontId="6" numFmtId="0" xfId="0" applyAlignment="1" applyBorder="1" applyFont="1">
      <alignment vertical="bottom"/>
    </xf>
    <xf borderId="1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18" fillId="0" fontId="6" numFmtId="0" xfId="0" applyAlignment="1" applyBorder="1" applyFont="1">
      <alignment readingOrder="0" vertical="bottom"/>
    </xf>
    <xf borderId="0" fillId="0" fontId="4" numFmtId="0" xfId="0" applyFont="1"/>
    <xf borderId="54" fillId="0" fontId="36" numFmtId="0" xfId="0" applyAlignment="1" applyBorder="1" applyFont="1">
      <alignment horizontal="center" readingOrder="0"/>
    </xf>
    <xf borderId="55" fillId="0" fontId="16" numFmtId="0" xfId="0" applyBorder="1" applyFont="1"/>
    <xf borderId="56" fillId="0" fontId="16" numFmtId="0" xfId="0" applyBorder="1" applyFont="1"/>
    <xf borderId="57" fillId="0" fontId="6" numFmtId="0" xfId="0" applyAlignment="1" applyBorder="1" applyFont="1">
      <alignment horizontal="center" readingOrder="0" vertical="bottom"/>
    </xf>
    <xf borderId="20" fillId="0" fontId="8" numFmtId="0" xfId="0" applyAlignment="1" applyBorder="1" applyFont="1">
      <alignment readingOrder="0" vertical="bottom"/>
    </xf>
    <xf borderId="0" fillId="6" fontId="6" numFmtId="0" xfId="0" applyAlignment="1" applyFont="1">
      <alignment horizontal="center" vertical="bottom"/>
    </xf>
    <xf borderId="21" fillId="0" fontId="8" numFmtId="0" xfId="0" applyAlignment="1" applyBorder="1" applyFont="1">
      <alignment readingOrder="0" vertical="bottom"/>
    </xf>
    <xf borderId="15" fillId="0" fontId="6" numFmtId="0" xfId="0" applyAlignment="1" applyBorder="1" applyFont="1">
      <alignment readingOrder="0" vertical="bottom"/>
    </xf>
    <xf borderId="0" fillId="6" fontId="37" numFmtId="0" xfId="0" applyAlignment="1" applyFont="1">
      <alignment horizontal="center" readingOrder="0" vertical="top"/>
    </xf>
    <xf borderId="58" fillId="0" fontId="4" numFmtId="0" xfId="0" applyAlignment="1" applyBorder="1" applyFont="1">
      <alignment horizontal="center"/>
    </xf>
    <xf borderId="58" fillId="0" fontId="4" numFmtId="0" xfId="0" applyAlignment="1" applyBorder="1" applyFont="1">
      <alignment horizontal="center" readingOrder="0"/>
    </xf>
    <xf borderId="59" fillId="0" fontId="16" numFmtId="0" xfId="0" applyBorder="1" applyFont="1"/>
    <xf borderId="60" fillId="0" fontId="4" numFmtId="0" xfId="0" applyAlignment="1" applyBorder="1" applyFont="1">
      <alignment horizontal="center" readingOrder="0"/>
    </xf>
    <xf borderId="61" fillId="0" fontId="16" numFmtId="0" xfId="0" applyBorder="1" applyFont="1"/>
    <xf borderId="3" fillId="10" fontId="37" numFmtId="0" xfId="0" applyAlignment="1" applyBorder="1" applyFill="1" applyFont="1">
      <alignment horizontal="center" readingOrder="0" vertical="top"/>
    </xf>
    <xf borderId="62" fillId="0" fontId="3" numFmtId="0" xfId="0" applyAlignment="1" applyBorder="1" applyFont="1">
      <alignment horizontal="center" readingOrder="0" vertical="center"/>
    </xf>
    <xf borderId="2" fillId="0" fontId="38" numFmtId="0" xfId="0" applyAlignment="1" applyBorder="1" applyFont="1">
      <alignment horizontal="center" readingOrder="0"/>
    </xf>
    <xf borderId="2" fillId="0" fontId="38" numFmtId="0" xfId="0" applyAlignment="1" applyBorder="1" applyFont="1">
      <alignment horizontal="center"/>
    </xf>
    <xf borderId="3" fillId="0" fontId="38" numFmtId="0" xfId="0" applyAlignment="1" applyBorder="1" applyFont="1">
      <alignment horizontal="center" readingOrder="0"/>
    </xf>
    <xf borderId="57" fillId="0" fontId="4" numFmtId="0" xfId="0" applyAlignment="1" applyBorder="1" applyFont="1">
      <alignment horizontal="center" readingOrder="0"/>
    </xf>
    <xf borderId="11" fillId="0" fontId="4" numFmtId="0" xfId="0" applyAlignment="1" applyBorder="1" applyFont="1">
      <alignment horizontal="center" readingOrder="0"/>
    </xf>
    <xf borderId="50" fillId="0" fontId="4" numFmtId="0" xfId="0" applyAlignment="1" applyBorder="1" applyFont="1">
      <alignment horizontal="center" readingOrder="0"/>
    </xf>
    <xf borderId="33" fillId="0" fontId="4" numFmtId="0" xfId="0" applyAlignment="1" applyBorder="1" applyFont="1">
      <alignment horizontal="center" readingOrder="0"/>
    </xf>
    <xf borderId="57" fillId="0" fontId="38" numFmtId="0" xfId="0" applyAlignment="1" applyBorder="1" applyFont="1">
      <alignment horizontal="center" readingOrder="0"/>
    </xf>
    <xf borderId="57" fillId="0" fontId="38" numFmtId="0" xfId="0" applyBorder="1" applyFont="1"/>
    <xf borderId="3" fillId="0" fontId="39" numFmtId="0" xfId="0" applyAlignment="1" applyBorder="1" applyFont="1">
      <alignment horizontal="center" readingOrder="0" vertical="bottom"/>
    </xf>
    <xf borderId="2" fillId="0" fontId="39" numFmtId="0" xfId="0" applyAlignment="1" applyBorder="1" applyFont="1">
      <alignment horizontal="center" readingOrder="0" vertical="bottom"/>
    </xf>
    <xf borderId="63" fillId="0" fontId="16" numFmtId="0" xfId="0" applyBorder="1" applyFont="1"/>
    <xf borderId="2" fillId="6" fontId="4" numFmtId="0" xfId="0" applyAlignment="1" applyBorder="1" applyFont="1">
      <alignment horizontal="center" readingOrder="0"/>
    </xf>
    <xf borderId="2" fillId="6" fontId="4" numFmtId="0" xfId="0" applyAlignment="1" applyBorder="1" applyFont="1">
      <alignment readingOrder="0"/>
    </xf>
    <xf borderId="64" fillId="0" fontId="4" numFmtId="0" xfId="0" applyAlignment="1" applyBorder="1" applyFont="1">
      <alignment horizontal="center" readingOrder="0"/>
    </xf>
    <xf borderId="64" fillId="6" fontId="4" numFmtId="0" xfId="0" applyAlignment="1" applyBorder="1" applyFont="1">
      <alignment horizontal="center" readingOrder="0"/>
    </xf>
    <xf borderId="0" fillId="6" fontId="4" numFmtId="0" xfId="0" applyAlignment="1" applyFont="1">
      <alignment horizontal="center" readingOrder="0"/>
    </xf>
    <xf borderId="46" fillId="0" fontId="4" numFmtId="0" xfId="0" applyAlignment="1" applyBorder="1" applyFont="1">
      <alignment horizontal="center" readingOrder="0"/>
    </xf>
    <xf borderId="63" fillId="6" fontId="4" numFmtId="0" xfId="0" applyAlignment="1" applyBorder="1" applyFont="1">
      <alignment horizontal="center" readingOrder="0"/>
    </xf>
    <xf borderId="65" fillId="6" fontId="2" numFmtId="0" xfId="0" applyAlignment="1" applyBorder="1" applyFont="1">
      <alignment readingOrder="0" vertical="bottom"/>
    </xf>
    <xf borderId="20" fillId="6" fontId="2" numFmtId="0" xfId="0" applyAlignment="1" applyBorder="1" applyFont="1">
      <alignment readingOrder="0" vertical="bottom"/>
    </xf>
    <xf borderId="14" fillId="6" fontId="2" numFmtId="0" xfId="0" applyAlignment="1" applyBorder="1" applyFont="1">
      <alignment readingOrder="0" vertical="bottom"/>
    </xf>
    <xf borderId="64" fillId="2" fontId="4" numFmtId="0" xfId="0" applyAlignment="1" applyBorder="1" applyFont="1">
      <alignment horizontal="center" readingOrder="0"/>
    </xf>
    <xf borderId="65" fillId="2" fontId="2" numFmtId="0" xfId="0" applyAlignment="1" applyBorder="1" applyFont="1">
      <alignment readingOrder="0" vertical="bottom"/>
    </xf>
    <xf borderId="21" fillId="2" fontId="2" numFmtId="0" xfId="0" applyAlignment="1" applyBorder="1" applyFont="1">
      <alignment readingOrder="0" vertical="bottom"/>
    </xf>
    <xf borderId="17" fillId="2" fontId="2" numFmtId="0" xfId="0" applyAlignment="1" applyBorder="1" applyFont="1">
      <alignment readingOrder="0" vertical="bottom"/>
    </xf>
    <xf borderId="0" fillId="6" fontId="4" numFmtId="0" xfId="0" applyFont="1"/>
    <xf borderId="66" fillId="6" fontId="2" numFmtId="0" xfId="0" applyAlignment="1" applyBorder="1" applyFont="1">
      <alignment readingOrder="0" vertical="bottom"/>
    </xf>
    <xf borderId="21" fillId="6" fontId="2" numFmtId="0" xfId="0" applyAlignment="1" applyBorder="1" applyFont="1">
      <alignment readingOrder="0" vertical="bottom"/>
    </xf>
    <xf borderId="17" fillId="6" fontId="2" numFmtId="0" xfId="0" applyAlignment="1" applyBorder="1" applyFont="1">
      <alignment readingOrder="0" vertical="bottom"/>
    </xf>
    <xf borderId="33" fillId="0" fontId="16" numFmtId="0" xfId="0" applyBorder="1" applyFont="1"/>
    <xf borderId="57" fillId="6" fontId="4" numFmtId="0" xfId="0" applyAlignment="1" applyBorder="1" applyFont="1">
      <alignment horizontal="center" readingOrder="0"/>
    </xf>
    <xf borderId="11" fillId="6" fontId="4" numFmtId="0" xfId="0" applyAlignment="1" applyBorder="1" applyFont="1">
      <alignment horizontal="center" readingOrder="0"/>
    </xf>
    <xf borderId="33" fillId="6" fontId="4" numFmtId="0" xfId="0" applyAlignment="1" applyBorder="1" applyFont="1">
      <alignment horizontal="center" readingOrder="0"/>
    </xf>
    <xf borderId="57" fillId="2" fontId="4" numFmtId="0" xfId="0" applyAlignment="1" applyBorder="1" applyFont="1">
      <alignment horizontal="center" readingOrder="0"/>
    </xf>
    <xf borderId="0" fillId="6" fontId="40" numFmtId="0" xfId="0" applyAlignment="1" applyFont="1">
      <alignment horizontal="left" readingOrder="0"/>
    </xf>
    <xf borderId="0" fillId="3" fontId="40" numFmtId="0" xfId="0" applyAlignment="1" applyFont="1">
      <alignment horizontal="left" readingOrder="0"/>
    </xf>
    <xf borderId="11" fillId="0" fontId="4" numFmtId="0" xfId="0" applyAlignment="1" applyBorder="1" applyFont="1">
      <alignment horizontal="center"/>
    </xf>
    <xf borderId="0" fillId="0" fontId="6" numFmtId="0" xfId="0" applyAlignment="1" applyFont="1">
      <alignment readingOrder="0" vertical="bottom"/>
    </xf>
    <xf borderId="57" fillId="0" fontId="4" numFmtId="0" xfId="0" applyAlignment="1" applyBorder="1" applyFont="1">
      <alignment horizontal="center"/>
    </xf>
    <xf borderId="64" fillId="0" fontId="4" numFmtId="0" xfId="0" applyAlignment="1" applyBorder="1" applyFont="1">
      <alignment horizontal="center"/>
    </xf>
    <xf borderId="0" fillId="11" fontId="41" numFmtId="0" xfId="0" applyAlignment="1" applyFill="1" applyFont="1">
      <alignment horizontal="center"/>
    </xf>
    <xf borderId="0" fillId="0" fontId="41" numFmtId="0" xfId="0" applyAlignment="1" applyFont="1">
      <alignment horizontal="center"/>
    </xf>
    <xf borderId="0" fillId="11" fontId="42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8" fillId="6" fontId="43" numFmtId="0" xfId="0" applyAlignment="1" applyBorder="1" applyFont="1">
      <alignment horizontal="center" readingOrder="0"/>
    </xf>
    <xf borderId="9" fillId="0" fontId="4" numFmtId="164" xfId="0" applyAlignment="1" applyBorder="1" applyFont="1" applyNumberFormat="1">
      <alignment readingOrder="0"/>
    </xf>
    <xf borderId="4" fillId="0" fontId="4" numFmtId="164" xfId="0" applyAlignment="1" applyBorder="1" applyFont="1" applyNumberFormat="1">
      <alignment readingOrder="0"/>
    </xf>
    <xf borderId="6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yayo" id="{ab329202-5bf4-4570-a2aa-52337395d59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1-20T09:48:56.00" personId="{ab329202-5bf4-4570-a2aa-52337395d595}" id="{b24365ad-8e66-4109-b1cd-3b226f96447f}" done="0">
    <x18tc:text xml:space="preserve">Hi Rich, You forgot Mark Frith again
684±83	Frith, Mark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0"/>
    <col customWidth="1" min="2" max="2" width="23.63"/>
    <col customWidth="1" min="3" max="3" width="9.75"/>
    <col customWidth="1" min="4" max="4" width="9.63"/>
    <col customWidth="1" min="5" max="5" width="11.38"/>
    <col customWidth="1" min="6" max="6" width="12.88"/>
    <col customWidth="1" min="7" max="7" width="0.75"/>
    <col customWidth="1" min="8" max="8" width="5.0"/>
    <col customWidth="1" min="9" max="9" width="18.75"/>
    <col customWidth="1" hidden="1" min="10" max="10" width="9.13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/>
      <c r="H2" s="5"/>
      <c r="I2" s="6" t="s">
        <v>6</v>
      </c>
      <c r="J2" s="7" t="s">
        <v>2</v>
      </c>
      <c r="K2" s="3" t="s">
        <v>2</v>
      </c>
    </row>
    <row r="3">
      <c r="A3" s="2">
        <v>1.0</v>
      </c>
      <c r="B3" s="8" t="s">
        <v>7</v>
      </c>
      <c r="C3" s="9">
        <v>1512.0</v>
      </c>
      <c r="D3" s="10" t="b">
        <v>0</v>
      </c>
      <c r="E3" s="10" t="b">
        <v>0</v>
      </c>
      <c r="F3" s="9"/>
      <c r="G3" s="4"/>
      <c r="H3" s="2">
        <v>1.0</v>
      </c>
      <c r="I3" s="8" t="s">
        <v>8</v>
      </c>
      <c r="J3" s="11">
        <v>1374.0</v>
      </c>
      <c r="K3" s="9">
        <v>986.0</v>
      </c>
    </row>
    <row r="4">
      <c r="A4" s="2">
        <v>2.0</v>
      </c>
      <c r="B4" s="8" t="s">
        <v>9</v>
      </c>
      <c r="C4" s="9">
        <v>1483.0</v>
      </c>
      <c r="D4" s="10" t="b">
        <v>0</v>
      </c>
      <c r="E4" s="10" t="b">
        <v>0</v>
      </c>
      <c r="F4" s="9"/>
      <c r="G4" s="4"/>
      <c r="H4" s="2">
        <v>2.0</v>
      </c>
      <c r="I4" s="8"/>
      <c r="J4" s="9">
        <v>1110.0</v>
      </c>
      <c r="K4" s="9"/>
    </row>
    <row r="5">
      <c r="A5" s="2">
        <v>3.0</v>
      </c>
      <c r="B5" s="8" t="s">
        <v>10</v>
      </c>
      <c r="C5" s="12">
        <v>1288.0</v>
      </c>
      <c r="D5" s="13" t="b">
        <v>0</v>
      </c>
      <c r="E5" s="13" t="b">
        <v>0</v>
      </c>
      <c r="F5" s="9"/>
      <c r="G5" s="4"/>
      <c r="H5" s="2">
        <v>3.0</v>
      </c>
      <c r="I5" s="14"/>
      <c r="J5" s="11">
        <v>995.0</v>
      </c>
      <c r="K5" s="9"/>
    </row>
    <row r="6">
      <c r="A6" s="15">
        <v>4.0</v>
      </c>
      <c r="B6" s="8" t="s">
        <v>11</v>
      </c>
      <c r="C6" s="9">
        <v>1282.0</v>
      </c>
      <c r="D6" s="10" t="b">
        <v>0</v>
      </c>
      <c r="E6" s="10" t="b">
        <v>0</v>
      </c>
      <c r="F6" s="9"/>
      <c r="G6" s="4"/>
      <c r="H6" s="15">
        <v>4.0</v>
      </c>
      <c r="I6" s="14"/>
      <c r="J6" s="9">
        <v>946.0</v>
      </c>
      <c r="K6" s="9"/>
    </row>
    <row r="7">
      <c r="A7" s="15">
        <v>5.0</v>
      </c>
      <c r="B7" s="8" t="s">
        <v>12</v>
      </c>
      <c r="C7" s="9">
        <v>1215.0</v>
      </c>
      <c r="D7" s="10" t="b">
        <v>0</v>
      </c>
      <c r="E7" s="10" t="b">
        <v>0</v>
      </c>
      <c r="F7" s="9"/>
      <c r="G7" s="4"/>
      <c r="H7" s="15">
        <v>5.0</v>
      </c>
      <c r="I7" s="14"/>
      <c r="J7" s="9">
        <v>944.0</v>
      </c>
      <c r="K7" s="9"/>
    </row>
    <row r="8">
      <c r="A8" s="15">
        <v>6.0</v>
      </c>
      <c r="B8" s="16" t="s">
        <v>13</v>
      </c>
      <c r="C8" s="9">
        <v>1193.0</v>
      </c>
      <c r="D8" s="10" t="b">
        <v>0</v>
      </c>
      <c r="E8" s="10" t="b">
        <v>0</v>
      </c>
      <c r="F8" s="17" t="s">
        <v>14</v>
      </c>
      <c r="G8" s="4"/>
      <c r="H8" s="15">
        <v>6.0</v>
      </c>
      <c r="I8" s="14"/>
      <c r="J8" s="9">
        <v>706.0</v>
      </c>
      <c r="K8" s="9"/>
    </row>
    <row r="9">
      <c r="A9" s="15">
        <v>7.0</v>
      </c>
      <c r="B9" s="8" t="s">
        <v>15</v>
      </c>
      <c r="C9" s="9">
        <v>1188.0</v>
      </c>
      <c r="D9" s="10" t="b">
        <v>0</v>
      </c>
      <c r="E9" s="10" t="b">
        <v>0</v>
      </c>
      <c r="F9" s="9"/>
      <c r="G9" s="4"/>
      <c r="H9" s="15">
        <v>7.0</v>
      </c>
      <c r="I9" s="18"/>
      <c r="J9" s="19"/>
      <c r="K9" s="9"/>
    </row>
    <row r="10">
      <c r="A10" s="15">
        <v>8.0</v>
      </c>
      <c r="B10" s="14" t="s">
        <v>16</v>
      </c>
      <c r="C10" s="12">
        <v>1144.0</v>
      </c>
      <c r="D10" s="13" t="b">
        <v>0</v>
      </c>
      <c r="E10" s="13" t="b">
        <v>0</v>
      </c>
      <c r="F10" s="9"/>
      <c r="G10" s="4"/>
      <c r="J10" s="19"/>
      <c r="K10" s="8"/>
    </row>
    <row r="11">
      <c r="A11" s="15">
        <v>9.0</v>
      </c>
      <c r="B11" s="16" t="s">
        <v>17</v>
      </c>
      <c r="C11" s="9">
        <v>1124.0</v>
      </c>
      <c r="D11" s="10" t="b">
        <v>0</v>
      </c>
      <c r="E11" s="10" t="b">
        <v>0</v>
      </c>
      <c r="F11" s="17" t="s">
        <v>14</v>
      </c>
      <c r="G11" s="4"/>
      <c r="J11" s="19"/>
    </row>
    <row r="12">
      <c r="A12" s="15">
        <v>10.0</v>
      </c>
      <c r="B12" s="8" t="s">
        <v>18</v>
      </c>
      <c r="C12" s="9">
        <v>1112.0</v>
      </c>
      <c r="D12" s="10" t="b">
        <v>0</v>
      </c>
      <c r="E12" s="10" t="b">
        <v>0</v>
      </c>
      <c r="F12" s="9"/>
      <c r="G12" s="4"/>
      <c r="J12" s="19"/>
    </row>
    <row r="13">
      <c r="A13" s="15">
        <v>11.0</v>
      </c>
      <c r="B13" s="8" t="s">
        <v>19</v>
      </c>
      <c r="C13" s="12">
        <v>1006.0</v>
      </c>
      <c r="D13" s="13" t="b">
        <v>0</v>
      </c>
      <c r="E13" s="13" t="b">
        <v>0</v>
      </c>
      <c r="F13" s="9"/>
      <c r="G13" s="4"/>
      <c r="I13" s="20"/>
      <c r="J13" s="19"/>
    </row>
    <row r="14">
      <c r="A14" s="15">
        <v>12.0</v>
      </c>
      <c r="B14" s="8" t="s">
        <v>20</v>
      </c>
      <c r="C14" s="12">
        <v>969.0</v>
      </c>
      <c r="D14" s="13" t="b">
        <v>0</v>
      </c>
      <c r="E14" s="13" t="b">
        <v>0</v>
      </c>
      <c r="F14" s="9"/>
      <c r="G14" s="4"/>
      <c r="J14" s="19"/>
    </row>
    <row r="15">
      <c r="A15" s="15">
        <v>13.0</v>
      </c>
      <c r="B15" s="8" t="s">
        <v>21</v>
      </c>
      <c r="C15" s="9">
        <v>939.0</v>
      </c>
      <c r="D15" s="13" t="b">
        <v>0</v>
      </c>
      <c r="E15" s="13" t="b">
        <v>0</v>
      </c>
      <c r="F15" s="9"/>
      <c r="G15" s="4"/>
      <c r="J15" s="19"/>
    </row>
    <row r="16">
      <c r="A16" s="15">
        <v>14.0</v>
      </c>
      <c r="B16" s="8" t="s">
        <v>22</v>
      </c>
      <c r="C16" s="21">
        <v>936.0</v>
      </c>
      <c r="D16" s="13" t="b">
        <v>0</v>
      </c>
      <c r="E16" s="13" t="b">
        <v>0</v>
      </c>
      <c r="F16" s="9"/>
      <c r="G16" s="4"/>
      <c r="J16" s="19"/>
    </row>
    <row r="17">
      <c r="A17" s="15">
        <v>15.0</v>
      </c>
      <c r="B17" s="8" t="s">
        <v>23</v>
      </c>
      <c r="C17" s="9">
        <v>892.0</v>
      </c>
      <c r="D17" s="10" t="b">
        <v>0</v>
      </c>
      <c r="E17" s="10" t="b">
        <v>0</v>
      </c>
      <c r="F17" s="9"/>
      <c r="G17" s="4"/>
      <c r="J17" s="19"/>
    </row>
    <row r="18">
      <c r="A18" s="15">
        <v>16.0</v>
      </c>
      <c r="B18" s="8" t="s">
        <v>24</v>
      </c>
      <c r="C18" s="9">
        <v>821.0</v>
      </c>
      <c r="D18" s="10" t="b">
        <v>0</v>
      </c>
      <c r="E18" s="10" t="b">
        <v>0</v>
      </c>
      <c r="F18" s="9"/>
      <c r="G18" s="4"/>
      <c r="J18" s="19"/>
    </row>
    <row r="19">
      <c r="A19" s="15">
        <v>17.0</v>
      </c>
      <c r="B19" s="22" t="s">
        <v>25</v>
      </c>
      <c r="C19" s="23">
        <v>807.0</v>
      </c>
      <c r="D19" s="10" t="b">
        <v>0</v>
      </c>
      <c r="E19" s="10" t="b">
        <v>0</v>
      </c>
      <c r="F19" s="9"/>
      <c r="G19" s="4"/>
      <c r="H19" s="24"/>
      <c r="J19" s="19"/>
    </row>
    <row r="20">
      <c r="A20" s="15">
        <v>18.0</v>
      </c>
      <c r="B20" s="8" t="s">
        <v>26</v>
      </c>
      <c r="C20" s="9">
        <v>787.0</v>
      </c>
      <c r="D20" s="10" t="b">
        <v>0</v>
      </c>
      <c r="E20" s="10" t="b">
        <v>0</v>
      </c>
      <c r="F20" s="9"/>
      <c r="G20" s="4"/>
      <c r="J20" s="19"/>
    </row>
    <row r="21">
      <c r="A21" s="15">
        <v>19.0</v>
      </c>
      <c r="B21" s="25" t="s">
        <v>27</v>
      </c>
      <c r="C21" s="9">
        <v>715.0</v>
      </c>
      <c r="D21" s="10" t="b">
        <v>0</v>
      </c>
      <c r="E21" s="10" t="b">
        <v>0</v>
      </c>
      <c r="F21" s="9"/>
      <c r="G21" s="4"/>
      <c r="J21" s="19"/>
    </row>
    <row r="22">
      <c r="A22" s="15">
        <v>20.0</v>
      </c>
      <c r="B22" s="8" t="s">
        <v>28</v>
      </c>
      <c r="C22" s="9">
        <v>684.0</v>
      </c>
      <c r="D22" s="10" t="b">
        <v>0</v>
      </c>
      <c r="E22" s="10" t="b">
        <v>0</v>
      </c>
      <c r="F22" s="9"/>
      <c r="G22" s="4"/>
      <c r="J22" s="19"/>
    </row>
    <row r="23">
      <c r="A23" s="15">
        <v>21.0</v>
      </c>
      <c r="B23" s="8" t="s">
        <v>29</v>
      </c>
      <c r="C23" s="9">
        <v>600.0</v>
      </c>
      <c r="D23" s="10" t="b">
        <v>0</v>
      </c>
      <c r="E23" s="10" t="b">
        <v>0</v>
      </c>
      <c r="F23" s="9"/>
      <c r="G23" s="4"/>
      <c r="J23" s="19"/>
    </row>
    <row r="24">
      <c r="A24" s="15">
        <v>22.0</v>
      </c>
      <c r="B24" s="25" t="s">
        <v>30</v>
      </c>
      <c r="C24" s="9">
        <v>599.0</v>
      </c>
      <c r="D24" s="10" t="b">
        <v>0</v>
      </c>
      <c r="E24" s="10" t="b">
        <v>0</v>
      </c>
      <c r="F24" s="9"/>
      <c r="G24" s="4"/>
      <c r="J24" s="19"/>
    </row>
    <row r="25">
      <c r="A25" s="2">
        <v>23.0</v>
      </c>
      <c r="B25" s="8"/>
      <c r="C25" s="9"/>
      <c r="D25" s="10" t="b">
        <v>0</v>
      </c>
      <c r="E25" s="10" t="b">
        <v>0</v>
      </c>
      <c r="F25" s="9"/>
      <c r="G25" s="4"/>
      <c r="J25" s="19"/>
    </row>
    <row r="26">
      <c r="A26" s="2">
        <v>24.0</v>
      </c>
      <c r="B26" s="8"/>
      <c r="C26" s="9"/>
      <c r="D26" s="10" t="b">
        <v>0</v>
      </c>
      <c r="E26" s="10" t="b">
        <v>0</v>
      </c>
      <c r="F26" s="9"/>
      <c r="G26" s="4"/>
      <c r="J26" s="19"/>
    </row>
    <row r="27">
      <c r="A27" s="26"/>
      <c r="C27" s="19"/>
      <c r="J27" s="19"/>
    </row>
    <row r="28">
      <c r="C28" s="19"/>
      <c r="J28" s="27"/>
    </row>
    <row r="29">
      <c r="C29" s="19"/>
      <c r="J29" s="19"/>
    </row>
    <row r="30">
      <c r="C30" s="19"/>
      <c r="J30" s="19"/>
    </row>
    <row r="31">
      <c r="C31" s="19"/>
      <c r="J31" s="19"/>
    </row>
    <row r="32">
      <c r="C32" s="19"/>
      <c r="J32" s="19"/>
    </row>
    <row r="33">
      <c r="C33" s="19"/>
      <c r="J33" s="19"/>
    </row>
    <row r="34">
      <c r="C34" s="19"/>
      <c r="J34" s="19"/>
    </row>
    <row r="35">
      <c r="A35" s="19"/>
      <c r="C35" s="19"/>
      <c r="J35" s="19"/>
    </row>
    <row r="36">
      <c r="A36" s="19"/>
      <c r="C36" s="19"/>
      <c r="J36" s="19"/>
    </row>
    <row r="37">
      <c r="A37" s="19"/>
      <c r="C37" s="19"/>
      <c r="J37" s="19"/>
    </row>
    <row r="38">
      <c r="A38" s="19"/>
      <c r="C38" s="19"/>
      <c r="J38" s="19"/>
    </row>
    <row r="39">
      <c r="A39" s="19"/>
      <c r="C39" s="19"/>
      <c r="J39" s="19"/>
    </row>
    <row r="40">
      <c r="A40" s="19"/>
      <c r="C40" s="19"/>
      <c r="J40" s="19"/>
    </row>
    <row r="41">
      <c r="A41" s="19"/>
      <c r="C41" s="19"/>
      <c r="J41" s="19"/>
    </row>
    <row r="42">
      <c r="A42" s="19"/>
      <c r="C42" s="19"/>
      <c r="J42" s="19"/>
    </row>
    <row r="43">
      <c r="A43" s="19"/>
      <c r="C43" s="19"/>
      <c r="J43" s="19"/>
    </row>
    <row r="44">
      <c r="A44" s="19"/>
      <c r="C44" s="19"/>
      <c r="J44" s="19"/>
    </row>
    <row r="45">
      <c r="A45" s="19"/>
      <c r="C45" s="19"/>
      <c r="J45" s="19"/>
    </row>
    <row r="46">
      <c r="A46" s="19"/>
      <c r="C46" s="19"/>
      <c r="J46" s="19"/>
    </row>
    <row r="47">
      <c r="A47" s="19"/>
      <c r="C47" s="19"/>
      <c r="J47" s="19"/>
    </row>
    <row r="48">
      <c r="A48" s="19"/>
      <c r="C48" s="19"/>
      <c r="J48" s="19"/>
    </row>
    <row r="49">
      <c r="A49" s="19"/>
      <c r="C49" s="19"/>
      <c r="J49" s="19"/>
    </row>
    <row r="50">
      <c r="A50" s="19"/>
      <c r="C50" s="19"/>
      <c r="J50" s="19"/>
    </row>
    <row r="51">
      <c r="A51" s="19"/>
      <c r="C51" s="19"/>
      <c r="J51" s="19"/>
    </row>
    <row r="52">
      <c r="A52" s="19"/>
      <c r="C52" s="19"/>
      <c r="J52" s="19"/>
    </row>
    <row r="53">
      <c r="A53" s="19"/>
      <c r="C53" s="19"/>
      <c r="J53" s="19"/>
    </row>
    <row r="54">
      <c r="A54" s="19"/>
      <c r="C54" s="19"/>
      <c r="J54" s="19"/>
    </row>
    <row r="55">
      <c r="A55" s="19"/>
      <c r="C55" s="19"/>
      <c r="J55" s="19"/>
    </row>
    <row r="56">
      <c r="A56" s="19"/>
      <c r="C56" s="19"/>
      <c r="J56" s="19"/>
    </row>
    <row r="57">
      <c r="A57" s="19"/>
      <c r="C57" s="19"/>
      <c r="J57" s="19"/>
    </row>
    <row r="58">
      <c r="A58" s="19"/>
      <c r="C58" s="19"/>
      <c r="J58" s="19"/>
    </row>
    <row r="59">
      <c r="A59" s="19"/>
      <c r="C59" s="19"/>
      <c r="J59" s="19"/>
    </row>
    <row r="60">
      <c r="A60" s="19"/>
      <c r="C60" s="19"/>
      <c r="J60" s="19"/>
    </row>
    <row r="61">
      <c r="A61" s="19"/>
      <c r="C61" s="19"/>
      <c r="J61" s="19"/>
    </row>
    <row r="62">
      <c r="A62" s="19"/>
      <c r="C62" s="19"/>
      <c r="J62" s="19"/>
    </row>
    <row r="63">
      <c r="A63" s="19"/>
      <c r="C63" s="19"/>
      <c r="J63" s="19"/>
    </row>
    <row r="64">
      <c r="A64" s="19"/>
      <c r="C64" s="19"/>
      <c r="J64" s="19"/>
    </row>
    <row r="65">
      <c r="A65" s="19"/>
      <c r="C65" s="19"/>
      <c r="J65" s="19"/>
    </row>
    <row r="66">
      <c r="A66" s="19"/>
      <c r="C66" s="19"/>
      <c r="J66" s="19"/>
    </row>
    <row r="67">
      <c r="A67" s="19"/>
      <c r="C67" s="19"/>
      <c r="J67" s="19"/>
    </row>
    <row r="68">
      <c r="A68" s="19"/>
      <c r="C68" s="19"/>
      <c r="J68" s="19"/>
    </row>
    <row r="69">
      <c r="A69" s="19"/>
      <c r="C69" s="19"/>
      <c r="J69" s="19"/>
    </row>
    <row r="70">
      <c r="A70" s="19"/>
      <c r="C70" s="19"/>
      <c r="J70" s="19"/>
    </row>
    <row r="71">
      <c r="A71" s="19"/>
      <c r="C71" s="19"/>
      <c r="J71" s="19"/>
    </row>
    <row r="72">
      <c r="A72" s="19"/>
      <c r="C72" s="19"/>
      <c r="J72" s="19"/>
    </row>
    <row r="73">
      <c r="A73" s="19"/>
      <c r="C73" s="19"/>
      <c r="J73" s="19"/>
    </row>
    <row r="74">
      <c r="A74" s="19"/>
      <c r="C74" s="19"/>
      <c r="J74" s="19"/>
    </row>
    <row r="75">
      <c r="A75" s="19"/>
      <c r="C75" s="19"/>
      <c r="J75" s="19"/>
    </row>
    <row r="76">
      <c r="A76" s="19"/>
      <c r="C76" s="19"/>
      <c r="J76" s="19"/>
    </row>
    <row r="77">
      <c r="A77" s="19"/>
      <c r="C77" s="19"/>
      <c r="J77" s="19"/>
    </row>
    <row r="78">
      <c r="A78" s="19"/>
      <c r="C78" s="19"/>
      <c r="J78" s="19"/>
    </row>
    <row r="79">
      <c r="A79" s="19"/>
      <c r="C79" s="19"/>
      <c r="J79" s="19"/>
    </row>
    <row r="80">
      <c r="A80" s="19"/>
      <c r="C80" s="19"/>
      <c r="J80" s="19"/>
    </row>
    <row r="81">
      <c r="A81" s="19"/>
      <c r="C81" s="19"/>
      <c r="J81" s="19"/>
    </row>
    <row r="82">
      <c r="A82" s="19"/>
      <c r="C82" s="19"/>
      <c r="J82" s="19"/>
    </row>
    <row r="83">
      <c r="A83" s="19"/>
      <c r="C83" s="19"/>
      <c r="J83" s="19"/>
    </row>
    <row r="84">
      <c r="A84" s="19"/>
      <c r="C84" s="19"/>
      <c r="J84" s="19"/>
    </row>
    <row r="85">
      <c r="A85" s="19"/>
      <c r="C85" s="19"/>
      <c r="J85" s="19"/>
    </row>
    <row r="86">
      <c r="A86" s="19"/>
      <c r="C86" s="19"/>
      <c r="J86" s="19"/>
    </row>
    <row r="87">
      <c r="A87" s="19"/>
      <c r="C87" s="19"/>
      <c r="J87" s="19"/>
    </row>
    <row r="88">
      <c r="A88" s="19"/>
      <c r="C88" s="19"/>
      <c r="J88" s="19"/>
    </row>
    <row r="89">
      <c r="A89" s="19"/>
      <c r="C89" s="19"/>
      <c r="J89" s="19"/>
    </row>
    <row r="90">
      <c r="A90" s="19"/>
      <c r="C90" s="19"/>
      <c r="J90" s="19"/>
    </row>
    <row r="91">
      <c r="A91" s="19"/>
      <c r="C91" s="19"/>
      <c r="J91" s="19"/>
    </row>
    <row r="92">
      <c r="A92" s="19"/>
      <c r="C92" s="19"/>
      <c r="J92" s="19"/>
    </row>
    <row r="93">
      <c r="A93" s="19"/>
      <c r="C93" s="19"/>
      <c r="J93" s="19"/>
    </row>
    <row r="94">
      <c r="A94" s="19"/>
      <c r="C94" s="19"/>
      <c r="J94" s="19"/>
    </row>
    <row r="95">
      <c r="A95" s="19"/>
      <c r="C95" s="19"/>
      <c r="J95" s="19"/>
    </row>
    <row r="96">
      <c r="A96" s="19"/>
      <c r="C96" s="19"/>
      <c r="J96" s="19"/>
    </row>
    <row r="97">
      <c r="A97" s="19"/>
      <c r="C97" s="19"/>
      <c r="J97" s="19"/>
    </row>
    <row r="98">
      <c r="A98" s="19"/>
      <c r="C98" s="19"/>
      <c r="J98" s="19"/>
    </row>
    <row r="99">
      <c r="A99" s="19"/>
      <c r="C99" s="19"/>
      <c r="J99" s="19"/>
    </row>
    <row r="100">
      <c r="A100" s="19"/>
      <c r="C100" s="19"/>
      <c r="J100" s="19"/>
    </row>
    <row r="101">
      <c r="A101" s="19"/>
      <c r="C101" s="19"/>
      <c r="J101" s="19"/>
    </row>
    <row r="102">
      <c r="A102" s="19"/>
      <c r="C102" s="19"/>
      <c r="J102" s="19"/>
    </row>
    <row r="103">
      <c r="A103" s="19"/>
      <c r="C103" s="19"/>
      <c r="J103" s="19"/>
    </row>
    <row r="104">
      <c r="A104" s="19"/>
      <c r="C104" s="19"/>
      <c r="J104" s="19"/>
    </row>
    <row r="105">
      <c r="A105" s="19"/>
      <c r="C105" s="19"/>
      <c r="J105" s="19"/>
    </row>
    <row r="106">
      <c r="A106" s="19"/>
      <c r="C106" s="19"/>
      <c r="J106" s="19"/>
    </row>
    <row r="107">
      <c r="A107" s="19"/>
      <c r="C107" s="19"/>
      <c r="J107" s="19"/>
    </row>
    <row r="108">
      <c r="A108" s="19"/>
      <c r="C108" s="19"/>
      <c r="J108" s="19"/>
    </row>
    <row r="109">
      <c r="A109" s="19"/>
      <c r="C109" s="19"/>
      <c r="J109" s="19"/>
    </row>
    <row r="110">
      <c r="A110" s="19"/>
      <c r="C110" s="19"/>
      <c r="J110" s="19"/>
    </row>
    <row r="111">
      <c r="A111" s="19"/>
      <c r="C111" s="19"/>
      <c r="J111" s="19"/>
    </row>
    <row r="112">
      <c r="A112" s="19"/>
      <c r="C112" s="19"/>
      <c r="J112" s="19"/>
    </row>
    <row r="113">
      <c r="A113" s="19"/>
      <c r="C113" s="19"/>
      <c r="J113" s="19"/>
    </row>
    <row r="114">
      <c r="A114" s="19"/>
      <c r="C114" s="19"/>
      <c r="J114" s="19"/>
    </row>
    <row r="115">
      <c r="A115" s="19"/>
      <c r="C115" s="19"/>
      <c r="J115" s="19"/>
    </row>
    <row r="116">
      <c r="A116" s="19"/>
      <c r="C116" s="19"/>
      <c r="J116" s="19"/>
    </row>
    <row r="117">
      <c r="A117" s="19"/>
      <c r="C117" s="19"/>
      <c r="J117" s="19"/>
    </row>
    <row r="118">
      <c r="A118" s="19"/>
      <c r="C118" s="19"/>
      <c r="J118" s="19"/>
    </row>
    <row r="119">
      <c r="A119" s="19"/>
      <c r="C119" s="19"/>
      <c r="J119" s="19"/>
    </row>
    <row r="120">
      <c r="A120" s="19"/>
      <c r="C120" s="19"/>
      <c r="J120" s="19"/>
    </row>
    <row r="121">
      <c r="A121" s="19"/>
      <c r="C121" s="19"/>
      <c r="J121" s="19"/>
    </row>
    <row r="122">
      <c r="A122" s="19"/>
      <c r="C122" s="19"/>
      <c r="J122" s="19"/>
    </row>
    <row r="123">
      <c r="A123" s="19"/>
      <c r="C123" s="19"/>
      <c r="J123" s="19"/>
    </row>
    <row r="124">
      <c r="A124" s="19"/>
      <c r="C124" s="19"/>
      <c r="J124" s="19"/>
    </row>
    <row r="125">
      <c r="A125" s="19"/>
      <c r="C125" s="19"/>
      <c r="J125" s="19"/>
    </row>
    <row r="126">
      <c r="A126" s="19"/>
      <c r="C126" s="19"/>
      <c r="J126" s="19"/>
    </row>
    <row r="127">
      <c r="A127" s="19"/>
      <c r="C127" s="19"/>
      <c r="J127" s="19"/>
    </row>
    <row r="128">
      <c r="A128" s="19"/>
      <c r="C128" s="19"/>
      <c r="J128" s="19"/>
    </row>
    <row r="129">
      <c r="A129" s="19"/>
      <c r="C129" s="19"/>
      <c r="J129" s="19"/>
    </row>
    <row r="130">
      <c r="A130" s="19"/>
      <c r="C130" s="19"/>
      <c r="J130" s="19"/>
    </row>
    <row r="131">
      <c r="A131" s="19"/>
      <c r="C131" s="19"/>
      <c r="J131" s="19"/>
    </row>
    <row r="132">
      <c r="A132" s="19"/>
      <c r="C132" s="19"/>
      <c r="J132" s="19"/>
    </row>
    <row r="133">
      <c r="A133" s="19"/>
      <c r="C133" s="19"/>
      <c r="J133" s="19"/>
    </row>
    <row r="134">
      <c r="A134" s="19"/>
      <c r="C134" s="19"/>
      <c r="J134" s="19"/>
    </row>
    <row r="135">
      <c r="A135" s="19"/>
      <c r="C135" s="19"/>
      <c r="J135" s="19"/>
    </row>
    <row r="136">
      <c r="A136" s="19"/>
      <c r="C136" s="19"/>
      <c r="J136" s="19"/>
    </row>
    <row r="137">
      <c r="A137" s="19"/>
      <c r="C137" s="19"/>
      <c r="J137" s="19"/>
    </row>
    <row r="138">
      <c r="A138" s="19"/>
      <c r="C138" s="19"/>
      <c r="J138" s="19"/>
    </row>
    <row r="139">
      <c r="A139" s="19"/>
      <c r="C139" s="19"/>
      <c r="J139" s="19"/>
    </row>
    <row r="140">
      <c r="A140" s="19"/>
      <c r="C140" s="19"/>
      <c r="J140" s="19"/>
    </row>
    <row r="141">
      <c r="A141" s="19"/>
      <c r="C141" s="19"/>
      <c r="J141" s="19"/>
    </row>
    <row r="142">
      <c r="A142" s="19"/>
      <c r="C142" s="19"/>
      <c r="J142" s="19"/>
    </row>
    <row r="143">
      <c r="A143" s="19"/>
      <c r="C143" s="19"/>
      <c r="J143" s="19"/>
    </row>
    <row r="144">
      <c r="A144" s="19"/>
      <c r="C144" s="19"/>
      <c r="J144" s="19"/>
    </row>
    <row r="145">
      <c r="A145" s="19"/>
      <c r="C145" s="19"/>
      <c r="J145" s="19"/>
    </row>
    <row r="146">
      <c r="A146" s="19"/>
      <c r="C146" s="19"/>
      <c r="J146" s="19"/>
    </row>
    <row r="147">
      <c r="A147" s="19"/>
      <c r="C147" s="19"/>
      <c r="J147" s="19"/>
    </row>
    <row r="148">
      <c r="A148" s="19"/>
      <c r="C148" s="19"/>
      <c r="J148" s="19"/>
    </row>
    <row r="149">
      <c r="A149" s="19"/>
      <c r="C149" s="19"/>
      <c r="J149" s="19"/>
    </row>
    <row r="150">
      <c r="A150" s="19"/>
      <c r="C150" s="19"/>
      <c r="J150" s="19"/>
    </row>
    <row r="151">
      <c r="A151" s="19"/>
      <c r="C151" s="19"/>
      <c r="J151" s="19"/>
    </row>
    <row r="152">
      <c r="A152" s="19"/>
      <c r="C152" s="19"/>
      <c r="J152" s="19"/>
    </row>
    <row r="153">
      <c r="A153" s="19"/>
      <c r="C153" s="19"/>
      <c r="J153" s="19"/>
    </row>
    <row r="154">
      <c r="A154" s="19"/>
      <c r="C154" s="19"/>
      <c r="J154" s="19"/>
    </row>
    <row r="155">
      <c r="A155" s="19"/>
      <c r="C155" s="19"/>
      <c r="J155" s="19"/>
    </row>
    <row r="156">
      <c r="A156" s="19"/>
      <c r="C156" s="19"/>
      <c r="J156" s="19"/>
    </row>
    <row r="157">
      <c r="A157" s="19"/>
      <c r="C157" s="19"/>
      <c r="J157" s="19"/>
    </row>
    <row r="158">
      <c r="A158" s="19"/>
      <c r="C158" s="19"/>
      <c r="J158" s="19"/>
    </row>
    <row r="159">
      <c r="A159" s="19"/>
      <c r="C159" s="19"/>
      <c r="J159" s="19"/>
    </row>
    <row r="160">
      <c r="A160" s="19"/>
      <c r="C160" s="19"/>
      <c r="J160" s="19"/>
    </row>
    <row r="161">
      <c r="A161" s="19"/>
      <c r="C161" s="19"/>
      <c r="J161" s="19"/>
    </row>
    <row r="162">
      <c r="A162" s="19"/>
      <c r="C162" s="19"/>
      <c r="J162" s="19"/>
    </row>
    <row r="163">
      <c r="A163" s="19"/>
      <c r="C163" s="19"/>
      <c r="J163" s="19"/>
    </row>
    <row r="164">
      <c r="A164" s="19"/>
      <c r="C164" s="19"/>
      <c r="J164" s="19"/>
    </row>
    <row r="165">
      <c r="A165" s="19"/>
      <c r="C165" s="19"/>
      <c r="J165" s="19"/>
    </row>
    <row r="166">
      <c r="A166" s="19"/>
      <c r="C166" s="19"/>
      <c r="J166" s="19"/>
    </row>
    <row r="167">
      <c r="A167" s="19"/>
      <c r="C167" s="19"/>
      <c r="J167" s="19"/>
    </row>
    <row r="168">
      <c r="A168" s="19"/>
      <c r="C168" s="19"/>
      <c r="J168" s="19"/>
    </row>
    <row r="169">
      <c r="A169" s="19"/>
      <c r="C169" s="19"/>
      <c r="J169" s="19"/>
    </row>
    <row r="170">
      <c r="A170" s="19"/>
      <c r="C170" s="19"/>
      <c r="J170" s="19"/>
    </row>
    <row r="171">
      <c r="A171" s="19"/>
      <c r="C171" s="19"/>
      <c r="J171" s="19"/>
    </row>
    <row r="172">
      <c r="A172" s="19"/>
      <c r="C172" s="19"/>
      <c r="J172" s="19"/>
    </row>
    <row r="173">
      <c r="A173" s="19"/>
      <c r="C173" s="19"/>
      <c r="J173" s="19"/>
    </row>
    <row r="174">
      <c r="A174" s="19"/>
      <c r="C174" s="19"/>
      <c r="J174" s="19"/>
    </row>
    <row r="175">
      <c r="A175" s="19"/>
      <c r="C175" s="19"/>
      <c r="J175" s="19"/>
    </row>
    <row r="176">
      <c r="A176" s="19"/>
      <c r="C176" s="19"/>
      <c r="J176" s="19"/>
    </row>
    <row r="177">
      <c r="A177" s="19"/>
      <c r="C177" s="19"/>
      <c r="J177" s="19"/>
    </row>
    <row r="178">
      <c r="A178" s="19"/>
      <c r="C178" s="19"/>
      <c r="J178" s="19"/>
    </row>
    <row r="179">
      <c r="A179" s="19"/>
      <c r="C179" s="19"/>
      <c r="J179" s="19"/>
    </row>
    <row r="180">
      <c r="A180" s="19"/>
      <c r="C180" s="19"/>
      <c r="J180" s="19"/>
    </row>
    <row r="181">
      <c r="A181" s="19"/>
      <c r="C181" s="19"/>
      <c r="J181" s="19"/>
    </row>
    <row r="182">
      <c r="A182" s="19"/>
      <c r="C182" s="19"/>
      <c r="J182" s="19"/>
    </row>
    <row r="183">
      <c r="A183" s="19"/>
      <c r="C183" s="19"/>
      <c r="J183" s="19"/>
    </row>
    <row r="184">
      <c r="A184" s="19"/>
      <c r="C184" s="19"/>
      <c r="J184" s="19"/>
    </row>
    <row r="185">
      <c r="A185" s="19"/>
      <c r="C185" s="19"/>
      <c r="J185" s="19"/>
    </row>
    <row r="186">
      <c r="A186" s="19"/>
      <c r="C186" s="19"/>
      <c r="J186" s="19"/>
    </row>
    <row r="187">
      <c r="A187" s="19"/>
      <c r="C187" s="19"/>
      <c r="J187" s="19"/>
    </row>
    <row r="188">
      <c r="A188" s="19"/>
      <c r="C188" s="19"/>
      <c r="J188" s="19"/>
    </row>
    <row r="189">
      <c r="A189" s="19"/>
      <c r="C189" s="19"/>
      <c r="J189" s="19"/>
    </row>
    <row r="190">
      <c r="A190" s="19"/>
      <c r="C190" s="19"/>
      <c r="J190" s="19"/>
    </row>
    <row r="191">
      <c r="A191" s="19"/>
      <c r="C191" s="19"/>
      <c r="J191" s="19"/>
    </row>
    <row r="192">
      <c r="A192" s="19"/>
      <c r="C192" s="19"/>
      <c r="J192" s="19"/>
    </row>
    <row r="193">
      <c r="A193" s="19"/>
      <c r="C193" s="19"/>
      <c r="J193" s="19"/>
    </row>
    <row r="194">
      <c r="A194" s="19"/>
      <c r="C194" s="19"/>
      <c r="J194" s="19"/>
    </row>
    <row r="195">
      <c r="A195" s="19"/>
      <c r="C195" s="19"/>
      <c r="J195" s="19"/>
    </row>
    <row r="196">
      <c r="A196" s="19"/>
      <c r="C196" s="19"/>
      <c r="J196" s="19"/>
    </row>
    <row r="197">
      <c r="A197" s="19"/>
      <c r="C197" s="19"/>
      <c r="J197" s="19"/>
    </row>
    <row r="198">
      <c r="A198" s="19"/>
      <c r="C198" s="19"/>
      <c r="J198" s="19"/>
    </row>
    <row r="199">
      <c r="A199" s="19"/>
      <c r="C199" s="19"/>
      <c r="J199" s="19"/>
    </row>
    <row r="200">
      <c r="A200" s="19"/>
      <c r="C200" s="19"/>
      <c r="J200" s="19"/>
    </row>
    <row r="201">
      <c r="A201" s="19"/>
      <c r="C201" s="19"/>
      <c r="J201" s="19"/>
    </row>
    <row r="202">
      <c r="A202" s="19"/>
      <c r="C202" s="19"/>
      <c r="J202" s="19"/>
    </row>
    <row r="203">
      <c r="A203" s="19"/>
      <c r="C203" s="19"/>
      <c r="J203" s="19"/>
    </row>
    <row r="204">
      <c r="A204" s="19"/>
      <c r="C204" s="19"/>
      <c r="J204" s="19"/>
    </row>
    <row r="205">
      <c r="A205" s="19"/>
      <c r="C205" s="19"/>
      <c r="J205" s="19"/>
    </row>
    <row r="206">
      <c r="A206" s="19"/>
      <c r="C206" s="19"/>
      <c r="J206" s="19"/>
    </row>
    <row r="207">
      <c r="A207" s="19"/>
      <c r="C207" s="19"/>
      <c r="J207" s="19"/>
    </row>
    <row r="208">
      <c r="A208" s="19"/>
      <c r="C208" s="19"/>
      <c r="J208" s="19"/>
    </row>
    <row r="209">
      <c r="A209" s="19"/>
      <c r="C209" s="19"/>
      <c r="J209" s="19"/>
    </row>
    <row r="210">
      <c r="A210" s="19"/>
      <c r="C210" s="19"/>
      <c r="J210" s="19"/>
    </row>
    <row r="211">
      <c r="A211" s="19"/>
      <c r="C211" s="19"/>
      <c r="J211" s="19"/>
    </row>
    <row r="212">
      <c r="A212" s="19"/>
      <c r="C212" s="19"/>
      <c r="J212" s="19"/>
    </row>
    <row r="213">
      <c r="A213" s="19"/>
      <c r="C213" s="19"/>
      <c r="J213" s="19"/>
    </row>
    <row r="214">
      <c r="A214" s="19"/>
      <c r="C214" s="19"/>
      <c r="J214" s="19"/>
    </row>
    <row r="215">
      <c r="A215" s="19"/>
      <c r="C215" s="19"/>
      <c r="J215" s="19"/>
    </row>
    <row r="216">
      <c r="A216" s="19"/>
      <c r="C216" s="19"/>
      <c r="J216" s="19"/>
    </row>
    <row r="217">
      <c r="A217" s="19"/>
      <c r="C217" s="19"/>
      <c r="J217" s="19"/>
    </row>
    <row r="218">
      <c r="A218" s="19"/>
      <c r="C218" s="19"/>
      <c r="J218" s="19"/>
    </row>
    <row r="219">
      <c r="A219" s="19"/>
      <c r="C219" s="19"/>
      <c r="J219" s="19"/>
    </row>
    <row r="220">
      <c r="A220" s="19"/>
      <c r="C220" s="19"/>
      <c r="J220" s="19"/>
    </row>
    <row r="221">
      <c r="A221" s="19"/>
      <c r="C221" s="19"/>
      <c r="J221" s="19"/>
    </row>
    <row r="222">
      <c r="A222" s="19"/>
      <c r="C222" s="19"/>
      <c r="J222" s="19"/>
    </row>
    <row r="223">
      <c r="A223" s="19"/>
      <c r="C223" s="19"/>
      <c r="J223" s="19"/>
    </row>
    <row r="224">
      <c r="A224" s="19"/>
      <c r="C224" s="19"/>
      <c r="J224" s="19"/>
    </row>
    <row r="225">
      <c r="A225" s="19"/>
      <c r="C225" s="19"/>
      <c r="J225" s="19"/>
    </row>
    <row r="226">
      <c r="A226" s="19"/>
      <c r="C226" s="19"/>
      <c r="J226" s="19"/>
    </row>
    <row r="227">
      <c r="A227" s="19"/>
      <c r="C227" s="19"/>
      <c r="J227" s="19"/>
    </row>
    <row r="228">
      <c r="A228" s="19"/>
      <c r="C228" s="19"/>
      <c r="J228" s="19"/>
    </row>
    <row r="229">
      <c r="A229" s="19"/>
      <c r="C229" s="19"/>
      <c r="J229" s="19"/>
    </row>
    <row r="230">
      <c r="A230" s="19"/>
      <c r="C230" s="19"/>
      <c r="J230" s="19"/>
    </row>
    <row r="231">
      <c r="A231" s="19"/>
      <c r="C231" s="19"/>
      <c r="J231" s="19"/>
    </row>
    <row r="232">
      <c r="A232" s="19"/>
      <c r="C232" s="19"/>
      <c r="J232" s="19"/>
    </row>
    <row r="233">
      <c r="A233" s="19"/>
      <c r="C233" s="19"/>
      <c r="J233" s="19"/>
    </row>
    <row r="234">
      <c r="A234" s="19"/>
      <c r="C234" s="19"/>
      <c r="J234" s="19"/>
    </row>
    <row r="235">
      <c r="A235" s="19"/>
      <c r="C235" s="19"/>
      <c r="J235" s="19"/>
    </row>
    <row r="236">
      <c r="A236" s="19"/>
      <c r="C236" s="19"/>
      <c r="J236" s="19"/>
    </row>
    <row r="237">
      <c r="A237" s="19"/>
      <c r="C237" s="19"/>
      <c r="J237" s="19"/>
    </row>
    <row r="238">
      <c r="A238" s="19"/>
      <c r="C238" s="19"/>
      <c r="J238" s="19"/>
    </row>
    <row r="239">
      <c r="A239" s="19"/>
      <c r="C239" s="19"/>
      <c r="J239" s="19"/>
    </row>
    <row r="240">
      <c r="A240" s="19"/>
      <c r="C240" s="19"/>
      <c r="J240" s="19"/>
    </row>
    <row r="241">
      <c r="A241" s="19"/>
      <c r="C241" s="19"/>
      <c r="J241" s="19"/>
    </row>
    <row r="242">
      <c r="A242" s="19"/>
      <c r="C242" s="19"/>
      <c r="J242" s="19"/>
    </row>
    <row r="243">
      <c r="A243" s="19"/>
      <c r="C243" s="19"/>
      <c r="J243" s="19"/>
    </row>
    <row r="244">
      <c r="A244" s="19"/>
      <c r="C244" s="19"/>
      <c r="J244" s="19"/>
    </row>
    <row r="245">
      <c r="A245" s="19"/>
      <c r="C245" s="19"/>
      <c r="J245" s="19"/>
    </row>
    <row r="246">
      <c r="A246" s="19"/>
      <c r="C246" s="19"/>
      <c r="J246" s="19"/>
    </row>
    <row r="247">
      <c r="A247" s="19"/>
      <c r="C247" s="19"/>
      <c r="J247" s="19"/>
    </row>
    <row r="248">
      <c r="A248" s="19"/>
      <c r="C248" s="19"/>
      <c r="J248" s="19"/>
    </row>
    <row r="249">
      <c r="A249" s="19"/>
      <c r="C249" s="19"/>
      <c r="J249" s="19"/>
    </row>
    <row r="250">
      <c r="A250" s="19"/>
      <c r="C250" s="19"/>
      <c r="J250" s="19"/>
    </row>
    <row r="251">
      <c r="A251" s="19"/>
      <c r="C251" s="19"/>
      <c r="J251" s="19"/>
    </row>
    <row r="252">
      <c r="A252" s="19"/>
      <c r="C252" s="19"/>
      <c r="J252" s="19"/>
    </row>
    <row r="253">
      <c r="A253" s="19"/>
      <c r="C253" s="19"/>
      <c r="J253" s="19"/>
    </row>
    <row r="254">
      <c r="A254" s="19"/>
      <c r="C254" s="19"/>
      <c r="J254" s="19"/>
    </row>
    <row r="255">
      <c r="A255" s="19"/>
      <c r="C255" s="19"/>
      <c r="J255" s="19"/>
    </row>
    <row r="256">
      <c r="A256" s="19"/>
      <c r="C256" s="19"/>
      <c r="J256" s="19"/>
    </row>
    <row r="257">
      <c r="A257" s="19"/>
      <c r="C257" s="19"/>
      <c r="J257" s="19"/>
    </row>
    <row r="258">
      <c r="A258" s="19"/>
      <c r="C258" s="19"/>
      <c r="J258" s="19"/>
    </row>
    <row r="259">
      <c r="A259" s="19"/>
      <c r="C259" s="19"/>
      <c r="J259" s="19"/>
    </row>
    <row r="260">
      <c r="A260" s="19"/>
      <c r="C260" s="19"/>
      <c r="J260" s="19"/>
    </row>
    <row r="261">
      <c r="A261" s="19"/>
      <c r="C261" s="19"/>
      <c r="J261" s="19"/>
    </row>
    <row r="262">
      <c r="A262" s="19"/>
      <c r="C262" s="19"/>
      <c r="J262" s="19"/>
    </row>
    <row r="263">
      <c r="A263" s="19"/>
      <c r="C263" s="19"/>
      <c r="J263" s="19"/>
    </row>
    <row r="264">
      <c r="A264" s="19"/>
      <c r="C264" s="19"/>
      <c r="J264" s="19"/>
    </row>
    <row r="265">
      <c r="A265" s="19"/>
      <c r="C265" s="19"/>
      <c r="J265" s="19"/>
    </row>
    <row r="266">
      <c r="A266" s="19"/>
      <c r="C266" s="19"/>
      <c r="J266" s="19"/>
    </row>
    <row r="267">
      <c r="A267" s="19"/>
      <c r="C267" s="19"/>
      <c r="J267" s="19"/>
    </row>
    <row r="268">
      <c r="A268" s="19"/>
      <c r="C268" s="19"/>
      <c r="J268" s="19"/>
    </row>
    <row r="269">
      <c r="A269" s="19"/>
      <c r="C269" s="19"/>
      <c r="J269" s="19"/>
    </row>
    <row r="270">
      <c r="A270" s="19"/>
      <c r="C270" s="19"/>
      <c r="J270" s="19"/>
    </row>
    <row r="271">
      <c r="A271" s="19"/>
      <c r="C271" s="19"/>
      <c r="J271" s="19"/>
    </row>
    <row r="272">
      <c r="A272" s="19"/>
      <c r="C272" s="19"/>
      <c r="J272" s="19"/>
    </row>
    <row r="273">
      <c r="A273" s="19"/>
      <c r="C273" s="19"/>
      <c r="J273" s="19"/>
    </row>
    <row r="274">
      <c r="A274" s="19"/>
      <c r="C274" s="19"/>
      <c r="J274" s="19"/>
    </row>
    <row r="275">
      <c r="A275" s="19"/>
      <c r="C275" s="19"/>
      <c r="J275" s="19"/>
    </row>
    <row r="276">
      <c r="A276" s="19"/>
      <c r="C276" s="19"/>
      <c r="J276" s="19"/>
    </row>
    <row r="277">
      <c r="A277" s="19"/>
      <c r="C277" s="19"/>
      <c r="J277" s="19"/>
    </row>
    <row r="278">
      <c r="A278" s="19"/>
      <c r="C278" s="19"/>
      <c r="J278" s="19"/>
    </row>
    <row r="279">
      <c r="A279" s="19"/>
      <c r="C279" s="19"/>
      <c r="J279" s="19"/>
    </row>
    <row r="280">
      <c r="A280" s="19"/>
      <c r="C280" s="19"/>
      <c r="J280" s="19"/>
    </row>
    <row r="281">
      <c r="A281" s="19"/>
      <c r="C281" s="19"/>
      <c r="J281" s="19"/>
    </row>
    <row r="282">
      <c r="A282" s="19"/>
      <c r="C282" s="19"/>
      <c r="J282" s="19"/>
    </row>
    <row r="283">
      <c r="A283" s="19"/>
      <c r="C283" s="19"/>
      <c r="J283" s="19"/>
    </row>
    <row r="284">
      <c r="A284" s="19"/>
      <c r="C284" s="19"/>
      <c r="J284" s="19"/>
    </row>
    <row r="285">
      <c r="A285" s="19"/>
      <c r="C285" s="19"/>
      <c r="J285" s="19"/>
    </row>
    <row r="286">
      <c r="A286" s="19"/>
      <c r="C286" s="19"/>
      <c r="J286" s="19"/>
    </row>
    <row r="287">
      <c r="A287" s="19"/>
      <c r="C287" s="19"/>
      <c r="J287" s="19"/>
    </row>
    <row r="288">
      <c r="A288" s="19"/>
      <c r="C288" s="19"/>
      <c r="J288" s="19"/>
    </row>
    <row r="289">
      <c r="A289" s="19"/>
      <c r="C289" s="19"/>
      <c r="J289" s="19"/>
    </row>
    <row r="290">
      <c r="A290" s="19"/>
      <c r="C290" s="19"/>
      <c r="J290" s="19"/>
    </row>
    <row r="291">
      <c r="A291" s="19"/>
      <c r="C291" s="19"/>
      <c r="J291" s="19"/>
    </row>
    <row r="292">
      <c r="A292" s="19"/>
      <c r="C292" s="19"/>
      <c r="J292" s="19"/>
    </row>
    <row r="293">
      <c r="A293" s="19"/>
      <c r="C293" s="19"/>
      <c r="J293" s="19"/>
    </row>
    <row r="294">
      <c r="A294" s="19"/>
      <c r="C294" s="19"/>
      <c r="J294" s="19"/>
    </row>
    <row r="295">
      <c r="A295" s="19"/>
      <c r="C295" s="19"/>
      <c r="J295" s="19"/>
    </row>
    <row r="296">
      <c r="A296" s="19"/>
      <c r="C296" s="19"/>
      <c r="J296" s="19"/>
    </row>
    <row r="297">
      <c r="A297" s="19"/>
      <c r="C297" s="19"/>
      <c r="J297" s="19"/>
    </row>
    <row r="298">
      <c r="A298" s="19"/>
      <c r="C298" s="19"/>
      <c r="J298" s="19"/>
    </row>
    <row r="299">
      <c r="A299" s="19"/>
      <c r="C299" s="19"/>
      <c r="J299" s="19"/>
    </row>
    <row r="300">
      <c r="A300" s="19"/>
      <c r="C300" s="19"/>
      <c r="J300" s="19"/>
    </row>
    <row r="301">
      <c r="A301" s="19"/>
      <c r="C301" s="19"/>
      <c r="J301" s="19"/>
    </row>
    <row r="302">
      <c r="A302" s="19"/>
      <c r="C302" s="19"/>
      <c r="J302" s="19"/>
    </row>
    <row r="303">
      <c r="A303" s="19"/>
      <c r="C303" s="19"/>
      <c r="J303" s="19"/>
    </row>
    <row r="304">
      <c r="A304" s="19"/>
      <c r="C304" s="19"/>
      <c r="J304" s="19"/>
    </row>
    <row r="305">
      <c r="A305" s="19"/>
      <c r="C305" s="19"/>
      <c r="J305" s="19"/>
    </row>
    <row r="306">
      <c r="A306" s="19"/>
      <c r="C306" s="19"/>
      <c r="J306" s="19"/>
    </row>
    <row r="307">
      <c r="A307" s="19"/>
      <c r="C307" s="19"/>
      <c r="J307" s="19"/>
    </row>
    <row r="308">
      <c r="A308" s="19"/>
      <c r="C308" s="19"/>
      <c r="J308" s="19"/>
    </row>
    <row r="309">
      <c r="A309" s="19"/>
      <c r="C309" s="19"/>
      <c r="J309" s="19"/>
    </row>
    <row r="310">
      <c r="A310" s="19"/>
      <c r="C310" s="19"/>
      <c r="J310" s="19"/>
    </row>
    <row r="311">
      <c r="A311" s="19"/>
      <c r="C311" s="19"/>
      <c r="J311" s="19"/>
    </row>
    <row r="312">
      <c r="A312" s="19"/>
      <c r="C312" s="19"/>
      <c r="J312" s="19"/>
    </row>
    <row r="313">
      <c r="A313" s="19"/>
      <c r="C313" s="19"/>
      <c r="J313" s="19"/>
    </row>
    <row r="314">
      <c r="A314" s="19"/>
      <c r="C314" s="19"/>
      <c r="J314" s="19"/>
    </row>
    <row r="315">
      <c r="A315" s="19"/>
      <c r="C315" s="19"/>
      <c r="J315" s="19"/>
    </row>
    <row r="316">
      <c r="A316" s="19"/>
      <c r="C316" s="19"/>
      <c r="J316" s="19"/>
    </row>
    <row r="317">
      <c r="A317" s="19"/>
      <c r="C317" s="19"/>
      <c r="J317" s="19"/>
    </row>
    <row r="318">
      <c r="A318" s="19"/>
      <c r="C318" s="19"/>
      <c r="J318" s="19"/>
    </row>
    <row r="319">
      <c r="A319" s="19"/>
      <c r="C319" s="19"/>
      <c r="J319" s="19"/>
    </row>
    <row r="320">
      <c r="A320" s="19"/>
      <c r="C320" s="19"/>
      <c r="J320" s="19"/>
    </row>
    <row r="321">
      <c r="A321" s="19"/>
      <c r="C321" s="19"/>
      <c r="J321" s="19"/>
    </row>
    <row r="322">
      <c r="A322" s="19"/>
      <c r="C322" s="19"/>
      <c r="J322" s="19"/>
    </row>
    <row r="323">
      <c r="A323" s="19"/>
      <c r="C323" s="19"/>
      <c r="J323" s="19"/>
    </row>
    <row r="324">
      <c r="A324" s="19"/>
      <c r="C324" s="19"/>
      <c r="J324" s="19"/>
    </row>
    <row r="325">
      <c r="A325" s="19"/>
      <c r="C325" s="19"/>
      <c r="J325" s="19"/>
    </row>
    <row r="326">
      <c r="A326" s="19"/>
      <c r="C326" s="19"/>
      <c r="J326" s="19"/>
    </row>
    <row r="327">
      <c r="A327" s="19"/>
      <c r="C327" s="19"/>
      <c r="J327" s="19"/>
    </row>
    <row r="328">
      <c r="A328" s="19"/>
      <c r="C328" s="19"/>
      <c r="J328" s="19"/>
    </row>
    <row r="329">
      <c r="A329" s="19"/>
      <c r="C329" s="19"/>
      <c r="J329" s="19"/>
    </row>
    <row r="330">
      <c r="A330" s="19"/>
      <c r="C330" s="19"/>
      <c r="J330" s="19"/>
    </row>
    <row r="331">
      <c r="A331" s="19"/>
      <c r="C331" s="19"/>
      <c r="J331" s="19"/>
    </row>
    <row r="332">
      <c r="A332" s="19"/>
      <c r="C332" s="19"/>
      <c r="J332" s="19"/>
    </row>
    <row r="333">
      <c r="A333" s="19"/>
      <c r="C333" s="19"/>
      <c r="J333" s="19"/>
    </row>
    <row r="334">
      <c r="A334" s="19"/>
      <c r="C334" s="19"/>
      <c r="J334" s="19"/>
    </row>
    <row r="335">
      <c r="A335" s="19"/>
      <c r="C335" s="19"/>
      <c r="J335" s="19"/>
    </row>
    <row r="336">
      <c r="A336" s="19"/>
      <c r="C336" s="19"/>
      <c r="J336" s="19"/>
    </row>
    <row r="337">
      <c r="A337" s="19"/>
      <c r="C337" s="19"/>
      <c r="J337" s="19"/>
    </row>
    <row r="338">
      <c r="A338" s="19"/>
      <c r="C338" s="19"/>
      <c r="J338" s="19"/>
    </row>
    <row r="339">
      <c r="A339" s="19"/>
      <c r="C339" s="19"/>
      <c r="J339" s="19"/>
    </row>
    <row r="340">
      <c r="A340" s="19"/>
      <c r="C340" s="19"/>
      <c r="J340" s="19"/>
    </row>
    <row r="341">
      <c r="A341" s="19"/>
      <c r="C341" s="19"/>
      <c r="J341" s="19"/>
    </row>
    <row r="342">
      <c r="A342" s="19"/>
      <c r="C342" s="19"/>
      <c r="J342" s="19"/>
    </row>
    <row r="343">
      <c r="A343" s="19"/>
      <c r="C343" s="19"/>
      <c r="J343" s="19"/>
    </row>
    <row r="344">
      <c r="A344" s="19"/>
      <c r="C344" s="19"/>
      <c r="J344" s="19"/>
    </row>
    <row r="345">
      <c r="A345" s="19"/>
      <c r="C345" s="19"/>
      <c r="J345" s="19"/>
    </row>
    <row r="346">
      <c r="A346" s="19"/>
      <c r="C346" s="19"/>
      <c r="J346" s="19"/>
    </row>
    <row r="347">
      <c r="A347" s="19"/>
      <c r="C347" s="19"/>
      <c r="J347" s="19"/>
    </row>
    <row r="348">
      <c r="A348" s="19"/>
      <c r="C348" s="19"/>
      <c r="J348" s="19"/>
    </row>
    <row r="349">
      <c r="A349" s="19"/>
      <c r="C349" s="19"/>
      <c r="J349" s="19"/>
    </row>
    <row r="350">
      <c r="A350" s="19"/>
      <c r="C350" s="19"/>
      <c r="J350" s="19"/>
    </row>
    <row r="351">
      <c r="A351" s="19"/>
      <c r="C351" s="19"/>
      <c r="J351" s="19"/>
    </row>
    <row r="352">
      <c r="A352" s="19"/>
      <c r="C352" s="19"/>
      <c r="J352" s="19"/>
    </row>
    <row r="353">
      <c r="A353" s="19"/>
      <c r="C353" s="19"/>
      <c r="J353" s="19"/>
    </row>
    <row r="354">
      <c r="A354" s="19"/>
      <c r="C354" s="19"/>
      <c r="J354" s="19"/>
    </row>
    <row r="355">
      <c r="A355" s="19"/>
      <c r="C355" s="19"/>
      <c r="J355" s="19"/>
    </row>
    <row r="356">
      <c r="A356" s="19"/>
      <c r="C356" s="19"/>
      <c r="J356" s="19"/>
    </row>
    <row r="357">
      <c r="A357" s="19"/>
      <c r="C357" s="19"/>
      <c r="J357" s="19"/>
    </row>
    <row r="358">
      <c r="A358" s="19"/>
      <c r="C358" s="19"/>
      <c r="J358" s="19"/>
    </row>
    <row r="359">
      <c r="A359" s="19"/>
      <c r="C359" s="19"/>
      <c r="J359" s="19"/>
    </row>
    <row r="360">
      <c r="A360" s="19"/>
      <c r="C360" s="19"/>
      <c r="J360" s="19"/>
    </row>
    <row r="361">
      <c r="A361" s="19"/>
      <c r="C361" s="19"/>
      <c r="J361" s="19"/>
    </row>
    <row r="362">
      <c r="A362" s="19"/>
      <c r="C362" s="19"/>
      <c r="J362" s="19"/>
    </row>
    <row r="363">
      <c r="A363" s="19"/>
      <c r="C363" s="19"/>
      <c r="J363" s="19"/>
    </row>
    <row r="364">
      <c r="A364" s="19"/>
      <c r="C364" s="19"/>
      <c r="J364" s="19"/>
    </row>
    <row r="365">
      <c r="A365" s="19"/>
      <c r="C365" s="19"/>
      <c r="J365" s="19"/>
    </row>
    <row r="366">
      <c r="A366" s="19"/>
      <c r="C366" s="19"/>
      <c r="J366" s="19"/>
    </row>
    <row r="367">
      <c r="A367" s="19"/>
      <c r="C367" s="19"/>
      <c r="J367" s="19"/>
    </row>
    <row r="368">
      <c r="A368" s="19"/>
      <c r="C368" s="19"/>
      <c r="J368" s="19"/>
    </row>
    <row r="369">
      <c r="A369" s="19"/>
      <c r="C369" s="19"/>
      <c r="J369" s="19"/>
    </row>
    <row r="370">
      <c r="A370" s="19"/>
      <c r="C370" s="19"/>
      <c r="J370" s="19"/>
    </row>
    <row r="371">
      <c r="A371" s="19"/>
      <c r="C371" s="19"/>
      <c r="J371" s="19"/>
    </row>
    <row r="372">
      <c r="A372" s="19"/>
      <c r="C372" s="19"/>
      <c r="J372" s="19"/>
    </row>
    <row r="373">
      <c r="A373" s="19"/>
      <c r="C373" s="19"/>
      <c r="J373" s="19"/>
    </row>
    <row r="374">
      <c r="A374" s="19"/>
      <c r="C374" s="19"/>
      <c r="J374" s="19"/>
    </row>
    <row r="375">
      <c r="A375" s="19"/>
      <c r="C375" s="19"/>
      <c r="J375" s="19"/>
    </row>
    <row r="376">
      <c r="A376" s="19"/>
      <c r="C376" s="19"/>
      <c r="J376" s="19"/>
    </row>
    <row r="377">
      <c r="A377" s="19"/>
      <c r="C377" s="19"/>
      <c r="J377" s="19"/>
    </row>
    <row r="378">
      <c r="A378" s="19"/>
      <c r="C378" s="19"/>
      <c r="J378" s="19"/>
    </row>
    <row r="379">
      <c r="A379" s="19"/>
      <c r="C379" s="19"/>
      <c r="J379" s="19"/>
    </row>
    <row r="380">
      <c r="A380" s="19"/>
      <c r="C380" s="19"/>
      <c r="J380" s="19"/>
    </row>
    <row r="381">
      <c r="A381" s="19"/>
      <c r="C381" s="19"/>
      <c r="J381" s="19"/>
    </row>
    <row r="382">
      <c r="A382" s="19"/>
      <c r="C382" s="19"/>
      <c r="J382" s="19"/>
    </row>
    <row r="383">
      <c r="A383" s="19"/>
      <c r="C383" s="19"/>
      <c r="J383" s="19"/>
    </row>
    <row r="384">
      <c r="A384" s="19"/>
      <c r="C384" s="19"/>
      <c r="J384" s="19"/>
    </row>
    <row r="385">
      <c r="A385" s="19"/>
      <c r="C385" s="19"/>
      <c r="J385" s="19"/>
    </row>
    <row r="386">
      <c r="A386" s="19"/>
      <c r="C386" s="19"/>
      <c r="J386" s="19"/>
    </row>
    <row r="387">
      <c r="A387" s="19"/>
      <c r="C387" s="19"/>
      <c r="J387" s="19"/>
    </row>
    <row r="388">
      <c r="A388" s="19"/>
      <c r="C388" s="19"/>
      <c r="J388" s="19"/>
    </row>
    <row r="389">
      <c r="A389" s="19"/>
      <c r="C389" s="19"/>
      <c r="J389" s="19"/>
    </row>
    <row r="390">
      <c r="A390" s="19"/>
      <c r="C390" s="19"/>
      <c r="J390" s="19"/>
    </row>
    <row r="391">
      <c r="A391" s="19"/>
      <c r="C391" s="19"/>
      <c r="J391" s="19"/>
    </row>
    <row r="392">
      <c r="A392" s="19"/>
      <c r="C392" s="19"/>
      <c r="J392" s="19"/>
    </row>
    <row r="393">
      <c r="A393" s="19"/>
      <c r="C393" s="19"/>
      <c r="J393" s="19"/>
    </row>
    <row r="394">
      <c r="A394" s="19"/>
      <c r="C394" s="19"/>
      <c r="J394" s="19"/>
    </row>
    <row r="395">
      <c r="A395" s="19"/>
      <c r="C395" s="19"/>
      <c r="J395" s="19"/>
    </row>
    <row r="396">
      <c r="A396" s="19"/>
      <c r="C396" s="19"/>
      <c r="J396" s="19"/>
    </row>
    <row r="397">
      <c r="A397" s="19"/>
      <c r="C397" s="19"/>
      <c r="J397" s="19"/>
    </row>
    <row r="398">
      <c r="A398" s="19"/>
      <c r="C398" s="19"/>
      <c r="J398" s="19"/>
    </row>
    <row r="399">
      <c r="A399" s="19"/>
      <c r="C399" s="19"/>
      <c r="J399" s="19"/>
    </row>
    <row r="400">
      <c r="A400" s="19"/>
      <c r="C400" s="19"/>
      <c r="J400" s="19"/>
    </row>
    <row r="401">
      <c r="A401" s="19"/>
      <c r="C401" s="19"/>
      <c r="J401" s="19"/>
    </row>
    <row r="402">
      <c r="A402" s="19"/>
      <c r="C402" s="19"/>
      <c r="J402" s="19"/>
    </row>
    <row r="403">
      <c r="A403" s="19"/>
      <c r="C403" s="19"/>
      <c r="J403" s="19"/>
    </row>
    <row r="404">
      <c r="A404" s="19"/>
      <c r="C404" s="19"/>
      <c r="J404" s="19"/>
    </row>
    <row r="405">
      <c r="A405" s="19"/>
      <c r="C405" s="19"/>
      <c r="J405" s="19"/>
    </row>
    <row r="406">
      <c r="A406" s="19"/>
      <c r="C406" s="19"/>
      <c r="J406" s="19"/>
    </row>
    <row r="407">
      <c r="A407" s="19"/>
      <c r="C407" s="19"/>
      <c r="J407" s="19"/>
    </row>
    <row r="408">
      <c r="A408" s="19"/>
      <c r="C408" s="19"/>
      <c r="J408" s="19"/>
    </row>
    <row r="409">
      <c r="A409" s="19"/>
      <c r="C409" s="19"/>
      <c r="J409" s="19"/>
    </row>
    <row r="410">
      <c r="A410" s="19"/>
      <c r="C410" s="19"/>
      <c r="J410" s="19"/>
    </row>
    <row r="411">
      <c r="A411" s="19"/>
      <c r="C411" s="19"/>
      <c r="J411" s="19"/>
    </row>
    <row r="412">
      <c r="A412" s="19"/>
      <c r="C412" s="19"/>
      <c r="J412" s="19"/>
    </row>
    <row r="413">
      <c r="A413" s="19"/>
      <c r="C413" s="19"/>
      <c r="J413" s="19"/>
    </row>
    <row r="414">
      <c r="A414" s="19"/>
      <c r="C414" s="19"/>
      <c r="J414" s="19"/>
    </row>
    <row r="415">
      <c r="A415" s="19"/>
      <c r="C415" s="19"/>
      <c r="J415" s="19"/>
    </row>
    <row r="416">
      <c r="A416" s="19"/>
      <c r="C416" s="19"/>
      <c r="J416" s="19"/>
    </row>
    <row r="417">
      <c r="A417" s="19"/>
      <c r="C417" s="19"/>
      <c r="J417" s="19"/>
    </row>
    <row r="418">
      <c r="A418" s="19"/>
      <c r="C418" s="19"/>
      <c r="J418" s="19"/>
    </row>
    <row r="419">
      <c r="A419" s="19"/>
      <c r="C419" s="19"/>
      <c r="J419" s="19"/>
    </row>
    <row r="420">
      <c r="A420" s="19"/>
      <c r="C420" s="19"/>
      <c r="J420" s="19"/>
    </row>
    <row r="421">
      <c r="A421" s="19"/>
      <c r="C421" s="19"/>
      <c r="J421" s="19"/>
    </row>
    <row r="422">
      <c r="A422" s="19"/>
      <c r="C422" s="19"/>
      <c r="J422" s="19"/>
    </row>
    <row r="423">
      <c r="A423" s="19"/>
      <c r="C423" s="19"/>
      <c r="J423" s="19"/>
    </row>
    <row r="424">
      <c r="A424" s="19"/>
      <c r="C424" s="19"/>
      <c r="J424" s="19"/>
    </row>
    <row r="425">
      <c r="A425" s="19"/>
      <c r="C425" s="19"/>
      <c r="J425" s="19"/>
    </row>
    <row r="426">
      <c r="A426" s="19"/>
      <c r="C426" s="19"/>
      <c r="J426" s="19"/>
    </row>
    <row r="427">
      <c r="A427" s="19"/>
      <c r="C427" s="19"/>
      <c r="J427" s="19"/>
    </row>
    <row r="428">
      <c r="A428" s="19"/>
      <c r="C428" s="19"/>
      <c r="J428" s="19"/>
    </row>
    <row r="429">
      <c r="A429" s="19"/>
      <c r="C429" s="19"/>
      <c r="J429" s="19"/>
    </row>
    <row r="430">
      <c r="A430" s="19"/>
      <c r="C430" s="19"/>
      <c r="J430" s="19"/>
    </row>
    <row r="431">
      <c r="A431" s="19"/>
      <c r="C431" s="19"/>
      <c r="J431" s="19"/>
    </row>
    <row r="432">
      <c r="A432" s="19"/>
      <c r="C432" s="19"/>
      <c r="J432" s="19"/>
    </row>
    <row r="433">
      <c r="A433" s="19"/>
      <c r="C433" s="19"/>
      <c r="J433" s="19"/>
    </row>
    <row r="434">
      <c r="A434" s="19"/>
      <c r="C434" s="19"/>
      <c r="J434" s="19"/>
    </row>
    <row r="435">
      <c r="A435" s="19"/>
      <c r="C435" s="19"/>
      <c r="J435" s="19"/>
    </row>
    <row r="436">
      <c r="A436" s="19"/>
      <c r="C436" s="19"/>
      <c r="J436" s="19"/>
    </row>
    <row r="437">
      <c r="A437" s="19"/>
      <c r="C437" s="19"/>
      <c r="J437" s="19"/>
    </row>
    <row r="438">
      <c r="A438" s="19"/>
      <c r="C438" s="19"/>
      <c r="J438" s="19"/>
    </row>
    <row r="439">
      <c r="A439" s="19"/>
      <c r="C439" s="19"/>
      <c r="J439" s="19"/>
    </row>
    <row r="440">
      <c r="A440" s="19"/>
      <c r="C440" s="19"/>
      <c r="J440" s="19"/>
    </row>
    <row r="441">
      <c r="A441" s="19"/>
      <c r="C441" s="19"/>
      <c r="J441" s="19"/>
    </row>
    <row r="442">
      <c r="A442" s="19"/>
      <c r="C442" s="19"/>
      <c r="J442" s="19"/>
    </row>
    <row r="443">
      <c r="A443" s="19"/>
      <c r="C443" s="19"/>
      <c r="J443" s="19"/>
    </row>
    <row r="444">
      <c r="A444" s="19"/>
      <c r="C444" s="19"/>
      <c r="J444" s="19"/>
    </row>
    <row r="445">
      <c r="A445" s="19"/>
      <c r="C445" s="19"/>
      <c r="J445" s="19"/>
    </row>
    <row r="446">
      <c r="A446" s="19"/>
      <c r="C446" s="19"/>
      <c r="J446" s="19"/>
    </row>
    <row r="447">
      <c r="A447" s="19"/>
      <c r="C447" s="19"/>
      <c r="J447" s="19"/>
    </row>
    <row r="448">
      <c r="A448" s="19"/>
      <c r="C448" s="19"/>
      <c r="J448" s="19"/>
    </row>
    <row r="449">
      <c r="A449" s="19"/>
      <c r="C449" s="19"/>
      <c r="J449" s="19"/>
    </row>
    <row r="450">
      <c r="A450" s="19"/>
      <c r="C450" s="19"/>
      <c r="J450" s="19"/>
    </row>
    <row r="451">
      <c r="A451" s="19"/>
      <c r="C451" s="19"/>
      <c r="J451" s="19"/>
    </row>
    <row r="452">
      <c r="A452" s="19"/>
      <c r="C452" s="19"/>
      <c r="J452" s="19"/>
    </row>
    <row r="453">
      <c r="A453" s="19"/>
      <c r="C453" s="19"/>
      <c r="J453" s="19"/>
    </row>
    <row r="454">
      <c r="A454" s="19"/>
      <c r="C454" s="19"/>
      <c r="J454" s="19"/>
    </row>
    <row r="455">
      <c r="A455" s="19"/>
      <c r="C455" s="19"/>
      <c r="J455" s="19"/>
    </row>
    <row r="456">
      <c r="A456" s="19"/>
      <c r="C456" s="19"/>
      <c r="J456" s="19"/>
    </row>
    <row r="457">
      <c r="A457" s="19"/>
      <c r="C457" s="19"/>
      <c r="J457" s="19"/>
    </row>
    <row r="458">
      <c r="A458" s="19"/>
      <c r="C458" s="19"/>
      <c r="J458" s="19"/>
    </row>
    <row r="459">
      <c r="A459" s="19"/>
      <c r="C459" s="19"/>
      <c r="J459" s="19"/>
    </row>
    <row r="460">
      <c r="A460" s="19"/>
      <c r="C460" s="19"/>
      <c r="J460" s="19"/>
    </row>
    <row r="461">
      <c r="A461" s="19"/>
      <c r="C461" s="19"/>
      <c r="J461" s="19"/>
    </row>
    <row r="462">
      <c r="A462" s="19"/>
      <c r="C462" s="19"/>
      <c r="J462" s="19"/>
    </row>
    <row r="463">
      <c r="A463" s="19"/>
      <c r="C463" s="19"/>
      <c r="J463" s="19"/>
    </row>
    <row r="464">
      <c r="A464" s="19"/>
      <c r="C464" s="19"/>
      <c r="J464" s="19"/>
    </row>
    <row r="465">
      <c r="A465" s="19"/>
      <c r="C465" s="19"/>
      <c r="J465" s="19"/>
    </row>
    <row r="466">
      <c r="A466" s="19"/>
      <c r="C466" s="19"/>
      <c r="J466" s="19"/>
    </row>
    <row r="467">
      <c r="A467" s="19"/>
      <c r="C467" s="19"/>
      <c r="J467" s="19"/>
    </row>
    <row r="468">
      <c r="A468" s="19"/>
      <c r="C468" s="19"/>
      <c r="J468" s="19"/>
    </row>
    <row r="469">
      <c r="A469" s="19"/>
      <c r="C469" s="19"/>
      <c r="J469" s="19"/>
    </row>
    <row r="470">
      <c r="A470" s="19"/>
      <c r="C470" s="19"/>
      <c r="J470" s="19"/>
    </row>
    <row r="471">
      <c r="A471" s="19"/>
      <c r="C471" s="19"/>
      <c r="J471" s="19"/>
    </row>
    <row r="472">
      <c r="A472" s="19"/>
      <c r="C472" s="19"/>
      <c r="J472" s="19"/>
    </row>
    <row r="473">
      <c r="A473" s="19"/>
      <c r="C473" s="19"/>
      <c r="J473" s="19"/>
    </row>
    <row r="474">
      <c r="A474" s="19"/>
      <c r="C474" s="19"/>
      <c r="J474" s="19"/>
    </row>
    <row r="475">
      <c r="A475" s="19"/>
      <c r="C475" s="19"/>
      <c r="J475" s="19"/>
    </row>
    <row r="476">
      <c r="A476" s="19"/>
      <c r="C476" s="19"/>
      <c r="J476" s="19"/>
    </row>
    <row r="477">
      <c r="A477" s="19"/>
      <c r="C477" s="19"/>
      <c r="J477" s="19"/>
    </row>
    <row r="478">
      <c r="A478" s="19"/>
      <c r="C478" s="19"/>
      <c r="J478" s="19"/>
    </row>
    <row r="479">
      <c r="A479" s="19"/>
      <c r="C479" s="19"/>
      <c r="J479" s="19"/>
    </row>
    <row r="480">
      <c r="A480" s="19"/>
      <c r="C480" s="19"/>
      <c r="J480" s="19"/>
    </row>
    <row r="481">
      <c r="A481" s="19"/>
      <c r="C481" s="19"/>
      <c r="J481" s="19"/>
    </row>
    <row r="482">
      <c r="A482" s="19"/>
      <c r="C482" s="19"/>
      <c r="J482" s="19"/>
    </row>
    <row r="483">
      <c r="A483" s="19"/>
      <c r="C483" s="19"/>
      <c r="J483" s="19"/>
    </row>
    <row r="484">
      <c r="A484" s="19"/>
      <c r="C484" s="19"/>
      <c r="J484" s="19"/>
    </row>
    <row r="485">
      <c r="A485" s="19"/>
      <c r="C485" s="19"/>
      <c r="J485" s="19"/>
    </row>
    <row r="486">
      <c r="A486" s="19"/>
      <c r="C486" s="19"/>
      <c r="J486" s="19"/>
    </row>
    <row r="487">
      <c r="A487" s="19"/>
      <c r="C487" s="19"/>
      <c r="J487" s="19"/>
    </row>
    <row r="488">
      <c r="A488" s="19"/>
      <c r="C488" s="19"/>
      <c r="J488" s="19"/>
    </row>
    <row r="489">
      <c r="A489" s="19"/>
      <c r="C489" s="19"/>
      <c r="J489" s="19"/>
    </row>
    <row r="490">
      <c r="A490" s="19"/>
      <c r="C490" s="19"/>
      <c r="J490" s="19"/>
    </row>
    <row r="491">
      <c r="A491" s="19"/>
      <c r="C491" s="19"/>
      <c r="J491" s="19"/>
    </row>
    <row r="492">
      <c r="A492" s="19"/>
      <c r="C492" s="19"/>
      <c r="J492" s="19"/>
    </row>
    <row r="493">
      <c r="A493" s="19"/>
      <c r="C493" s="19"/>
      <c r="J493" s="19"/>
    </row>
    <row r="494">
      <c r="A494" s="19"/>
      <c r="C494" s="19"/>
      <c r="J494" s="19"/>
    </row>
    <row r="495">
      <c r="A495" s="19"/>
      <c r="C495" s="19"/>
      <c r="J495" s="19"/>
    </row>
    <row r="496">
      <c r="A496" s="19"/>
      <c r="C496" s="19"/>
      <c r="J496" s="19"/>
    </row>
    <row r="497">
      <c r="A497" s="19"/>
      <c r="C497" s="19"/>
      <c r="J497" s="19"/>
    </row>
    <row r="498">
      <c r="A498" s="19"/>
      <c r="C498" s="19"/>
      <c r="J498" s="19"/>
    </row>
    <row r="499">
      <c r="A499" s="19"/>
      <c r="C499" s="19"/>
      <c r="J499" s="19"/>
    </row>
    <row r="500">
      <c r="A500" s="19"/>
      <c r="C500" s="19"/>
      <c r="J500" s="19"/>
    </row>
    <row r="501">
      <c r="A501" s="19"/>
      <c r="C501" s="19"/>
      <c r="J501" s="19"/>
    </row>
    <row r="502">
      <c r="A502" s="19"/>
      <c r="C502" s="19"/>
      <c r="J502" s="19"/>
    </row>
    <row r="503">
      <c r="A503" s="19"/>
      <c r="C503" s="19"/>
      <c r="J503" s="19"/>
    </row>
    <row r="504">
      <c r="A504" s="19"/>
      <c r="C504" s="19"/>
      <c r="J504" s="19"/>
    </row>
    <row r="505">
      <c r="A505" s="19"/>
      <c r="C505" s="19"/>
      <c r="J505" s="19"/>
    </row>
    <row r="506">
      <c r="A506" s="19"/>
      <c r="C506" s="19"/>
      <c r="J506" s="19"/>
    </row>
    <row r="507">
      <c r="A507" s="19"/>
      <c r="C507" s="19"/>
      <c r="J507" s="19"/>
    </row>
    <row r="508">
      <c r="A508" s="19"/>
      <c r="C508" s="19"/>
      <c r="J508" s="19"/>
    </row>
    <row r="509">
      <c r="A509" s="19"/>
      <c r="C509" s="19"/>
      <c r="J509" s="19"/>
    </row>
    <row r="510">
      <c r="A510" s="19"/>
      <c r="C510" s="19"/>
      <c r="J510" s="19"/>
    </row>
    <row r="511">
      <c r="A511" s="19"/>
      <c r="C511" s="19"/>
      <c r="J511" s="19"/>
    </row>
    <row r="512">
      <c r="A512" s="19"/>
      <c r="C512" s="19"/>
      <c r="J512" s="19"/>
    </row>
    <row r="513">
      <c r="A513" s="19"/>
      <c r="C513" s="19"/>
      <c r="J513" s="19"/>
    </row>
    <row r="514">
      <c r="A514" s="19"/>
      <c r="C514" s="19"/>
      <c r="J514" s="19"/>
    </row>
    <row r="515">
      <c r="A515" s="19"/>
      <c r="C515" s="19"/>
      <c r="J515" s="19"/>
    </row>
    <row r="516">
      <c r="A516" s="19"/>
      <c r="C516" s="19"/>
      <c r="J516" s="19"/>
    </row>
    <row r="517">
      <c r="A517" s="19"/>
      <c r="C517" s="19"/>
      <c r="J517" s="19"/>
    </row>
    <row r="518">
      <c r="A518" s="19"/>
      <c r="C518" s="19"/>
      <c r="J518" s="19"/>
    </row>
    <row r="519">
      <c r="A519" s="19"/>
      <c r="C519" s="19"/>
      <c r="J519" s="19"/>
    </row>
    <row r="520">
      <c r="A520" s="19"/>
      <c r="C520" s="19"/>
      <c r="J520" s="19"/>
    </row>
    <row r="521">
      <c r="A521" s="19"/>
      <c r="C521" s="19"/>
      <c r="J521" s="19"/>
    </row>
    <row r="522">
      <c r="A522" s="19"/>
      <c r="C522" s="19"/>
      <c r="J522" s="19"/>
    </row>
    <row r="523">
      <c r="A523" s="19"/>
      <c r="C523" s="19"/>
      <c r="J523" s="19"/>
    </row>
    <row r="524">
      <c r="A524" s="19"/>
      <c r="C524" s="19"/>
      <c r="J524" s="19"/>
    </row>
    <row r="525">
      <c r="A525" s="19"/>
      <c r="C525" s="19"/>
      <c r="J525" s="19"/>
    </row>
    <row r="526">
      <c r="A526" s="19"/>
      <c r="C526" s="19"/>
      <c r="J526" s="19"/>
    </row>
    <row r="527">
      <c r="A527" s="19"/>
      <c r="C527" s="19"/>
      <c r="J527" s="19"/>
    </row>
    <row r="528">
      <c r="A528" s="19"/>
      <c r="C528" s="19"/>
      <c r="J528" s="19"/>
    </row>
    <row r="529">
      <c r="A529" s="19"/>
      <c r="C529" s="19"/>
      <c r="J529" s="19"/>
    </row>
    <row r="530">
      <c r="A530" s="19"/>
      <c r="C530" s="19"/>
      <c r="J530" s="19"/>
    </row>
    <row r="531">
      <c r="A531" s="19"/>
      <c r="C531" s="19"/>
      <c r="J531" s="19"/>
    </row>
    <row r="532">
      <c r="A532" s="19"/>
      <c r="C532" s="19"/>
      <c r="J532" s="19"/>
    </row>
    <row r="533">
      <c r="A533" s="19"/>
      <c r="C533" s="19"/>
      <c r="J533" s="19"/>
    </row>
    <row r="534">
      <c r="A534" s="19"/>
      <c r="C534" s="19"/>
      <c r="J534" s="19"/>
    </row>
    <row r="535">
      <c r="A535" s="19"/>
      <c r="C535" s="19"/>
      <c r="J535" s="19"/>
    </row>
    <row r="536">
      <c r="A536" s="19"/>
      <c r="C536" s="19"/>
      <c r="J536" s="19"/>
    </row>
    <row r="537">
      <c r="A537" s="19"/>
      <c r="C537" s="19"/>
      <c r="J537" s="19"/>
    </row>
    <row r="538">
      <c r="A538" s="19"/>
      <c r="C538" s="19"/>
      <c r="J538" s="19"/>
    </row>
    <row r="539">
      <c r="A539" s="19"/>
      <c r="C539" s="19"/>
      <c r="J539" s="19"/>
    </row>
    <row r="540">
      <c r="A540" s="19"/>
      <c r="C540" s="19"/>
      <c r="J540" s="19"/>
    </row>
    <row r="541">
      <c r="A541" s="19"/>
      <c r="C541" s="19"/>
      <c r="J541" s="19"/>
    </row>
    <row r="542">
      <c r="A542" s="19"/>
      <c r="C542" s="19"/>
      <c r="J542" s="19"/>
    </row>
    <row r="543">
      <c r="A543" s="19"/>
      <c r="C543" s="19"/>
      <c r="J543" s="19"/>
    </row>
    <row r="544">
      <c r="A544" s="19"/>
      <c r="C544" s="19"/>
      <c r="J544" s="19"/>
    </row>
    <row r="545">
      <c r="A545" s="19"/>
      <c r="C545" s="19"/>
      <c r="J545" s="19"/>
    </row>
    <row r="546">
      <c r="A546" s="19"/>
      <c r="C546" s="19"/>
      <c r="J546" s="19"/>
    </row>
    <row r="547">
      <c r="A547" s="19"/>
      <c r="C547" s="19"/>
      <c r="J547" s="19"/>
    </row>
    <row r="548">
      <c r="A548" s="19"/>
      <c r="C548" s="19"/>
      <c r="J548" s="19"/>
    </row>
    <row r="549">
      <c r="A549" s="19"/>
      <c r="C549" s="19"/>
      <c r="J549" s="19"/>
    </row>
    <row r="550">
      <c r="A550" s="19"/>
      <c r="C550" s="19"/>
      <c r="J550" s="19"/>
    </row>
    <row r="551">
      <c r="A551" s="19"/>
      <c r="C551" s="19"/>
      <c r="J551" s="19"/>
    </row>
    <row r="552">
      <c r="A552" s="19"/>
      <c r="C552" s="19"/>
      <c r="J552" s="19"/>
    </row>
    <row r="553">
      <c r="A553" s="19"/>
      <c r="C553" s="19"/>
      <c r="J553" s="19"/>
    </row>
    <row r="554">
      <c r="A554" s="19"/>
      <c r="C554" s="19"/>
      <c r="J554" s="19"/>
    </row>
    <row r="555">
      <c r="A555" s="19"/>
      <c r="C555" s="19"/>
      <c r="J555" s="19"/>
    </row>
    <row r="556">
      <c r="A556" s="19"/>
      <c r="C556" s="19"/>
      <c r="J556" s="19"/>
    </row>
    <row r="557">
      <c r="A557" s="19"/>
      <c r="C557" s="19"/>
      <c r="J557" s="19"/>
    </row>
    <row r="558">
      <c r="A558" s="19"/>
      <c r="C558" s="19"/>
      <c r="J558" s="19"/>
    </row>
    <row r="559">
      <c r="A559" s="19"/>
      <c r="C559" s="19"/>
      <c r="J559" s="19"/>
    </row>
    <row r="560">
      <c r="A560" s="19"/>
      <c r="C560" s="19"/>
      <c r="J560" s="19"/>
    </row>
    <row r="561">
      <c r="A561" s="19"/>
      <c r="C561" s="19"/>
      <c r="J561" s="19"/>
    </row>
    <row r="562">
      <c r="A562" s="19"/>
      <c r="C562" s="19"/>
      <c r="J562" s="19"/>
    </row>
    <row r="563">
      <c r="A563" s="19"/>
      <c r="C563" s="19"/>
      <c r="J563" s="19"/>
    </row>
    <row r="564">
      <c r="A564" s="19"/>
      <c r="C564" s="19"/>
      <c r="J564" s="19"/>
    </row>
    <row r="565">
      <c r="A565" s="19"/>
      <c r="C565" s="19"/>
      <c r="J565" s="19"/>
    </row>
    <row r="566">
      <c r="A566" s="19"/>
      <c r="C566" s="19"/>
      <c r="J566" s="19"/>
    </row>
    <row r="567">
      <c r="A567" s="19"/>
      <c r="C567" s="19"/>
      <c r="J567" s="19"/>
    </row>
    <row r="568">
      <c r="A568" s="19"/>
      <c r="C568" s="19"/>
      <c r="J568" s="19"/>
    </row>
    <row r="569">
      <c r="A569" s="19"/>
      <c r="C569" s="19"/>
      <c r="J569" s="19"/>
    </row>
    <row r="570">
      <c r="A570" s="19"/>
      <c r="C570" s="19"/>
      <c r="J570" s="19"/>
    </row>
    <row r="571">
      <c r="A571" s="19"/>
      <c r="C571" s="19"/>
      <c r="J571" s="19"/>
    </row>
    <row r="572">
      <c r="A572" s="19"/>
      <c r="C572" s="19"/>
      <c r="J572" s="19"/>
    </row>
    <row r="573">
      <c r="A573" s="19"/>
      <c r="C573" s="19"/>
      <c r="J573" s="19"/>
    </row>
    <row r="574">
      <c r="A574" s="19"/>
      <c r="C574" s="19"/>
      <c r="J574" s="19"/>
    </row>
    <row r="575">
      <c r="A575" s="19"/>
      <c r="C575" s="19"/>
      <c r="J575" s="19"/>
    </row>
    <row r="576">
      <c r="A576" s="19"/>
      <c r="C576" s="19"/>
      <c r="J576" s="19"/>
    </row>
    <row r="577">
      <c r="A577" s="19"/>
      <c r="C577" s="19"/>
      <c r="J577" s="19"/>
    </row>
    <row r="578">
      <c r="A578" s="19"/>
      <c r="C578" s="19"/>
      <c r="J578" s="19"/>
    </row>
    <row r="579">
      <c r="A579" s="19"/>
      <c r="C579" s="19"/>
      <c r="J579" s="19"/>
    </row>
    <row r="580">
      <c r="A580" s="19"/>
      <c r="C580" s="19"/>
      <c r="J580" s="19"/>
    </row>
    <row r="581">
      <c r="A581" s="19"/>
      <c r="C581" s="19"/>
      <c r="J581" s="19"/>
    </row>
    <row r="582">
      <c r="A582" s="19"/>
      <c r="C582" s="19"/>
      <c r="J582" s="19"/>
    </row>
    <row r="583">
      <c r="A583" s="19"/>
      <c r="C583" s="19"/>
      <c r="J583" s="19"/>
    </row>
    <row r="584">
      <c r="A584" s="19"/>
      <c r="C584" s="19"/>
      <c r="J584" s="19"/>
    </row>
    <row r="585">
      <c r="A585" s="19"/>
      <c r="C585" s="19"/>
      <c r="J585" s="19"/>
    </row>
    <row r="586">
      <c r="A586" s="19"/>
      <c r="C586" s="19"/>
      <c r="J586" s="19"/>
    </row>
    <row r="587">
      <c r="A587" s="19"/>
      <c r="C587" s="19"/>
      <c r="J587" s="19"/>
    </row>
    <row r="588">
      <c r="A588" s="19"/>
      <c r="C588" s="19"/>
      <c r="J588" s="19"/>
    </row>
    <row r="589">
      <c r="A589" s="19"/>
      <c r="C589" s="19"/>
      <c r="J589" s="19"/>
    </row>
    <row r="590">
      <c r="A590" s="19"/>
      <c r="C590" s="19"/>
      <c r="J590" s="19"/>
    </row>
    <row r="591">
      <c r="A591" s="19"/>
      <c r="C591" s="19"/>
      <c r="J591" s="19"/>
    </row>
    <row r="592">
      <c r="A592" s="19"/>
      <c r="C592" s="19"/>
      <c r="J592" s="19"/>
    </row>
    <row r="593">
      <c r="A593" s="19"/>
      <c r="C593" s="19"/>
      <c r="J593" s="19"/>
    </row>
    <row r="594">
      <c r="A594" s="19"/>
      <c r="C594" s="19"/>
      <c r="J594" s="19"/>
    </row>
    <row r="595">
      <c r="A595" s="19"/>
      <c r="C595" s="19"/>
      <c r="J595" s="19"/>
    </row>
    <row r="596">
      <c r="A596" s="19"/>
      <c r="C596" s="19"/>
      <c r="J596" s="19"/>
    </row>
    <row r="597">
      <c r="A597" s="19"/>
      <c r="C597" s="19"/>
      <c r="J597" s="19"/>
    </row>
    <row r="598">
      <c r="A598" s="19"/>
      <c r="C598" s="19"/>
      <c r="J598" s="19"/>
    </row>
    <row r="599">
      <c r="A599" s="19"/>
      <c r="C599" s="19"/>
      <c r="J599" s="19"/>
    </row>
    <row r="600">
      <c r="A600" s="19"/>
      <c r="C600" s="19"/>
      <c r="J600" s="19"/>
    </row>
    <row r="601">
      <c r="A601" s="19"/>
      <c r="C601" s="19"/>
      <c r="J601" s="19"/>
    </row>
    <row r="602">
      <c r="A602" s="19"/>
      <c r="C602" s="19"/>
      <c r="J602" s="19"/>
    </row>
    <row r="603">
      <c r="A603" s="19"/>
      <c r="C603" s="19"/>
      <c r="J603" s="19"/>
    </row>
    <row r="604">
      <c r="A604" s="19"/>
      <c r="C604" s="19"/>
      <c r="J604" s="19"/>
    </row>
    <row r="605">
      <c r="A605" s="19"/>
      <c r="C605" s="19"/>
      <c r="J605" s="19"/>
    </row>
    <row r="606">
      <c r="A606" s="19"/>
      <c r="C606" s="19"/>
      <c r="J606" s="19"/>
    </row>
    <row r="607">
      <c r="A607" s="19"/>
      <c r="C607" s="19"/>
      <c r="J607" s="19"/>
    </row>
    <row r="608">
      <c r="A608" s="19"/>
      <c r="C608" s="19"/>
      <c r="J608" s="19"/>
    </row>
    <row r="609">
      <c r="A609" s="19"/>
      <c r="C609" s="19"/>
      <c r="J609" s="19"/>
    </row>
    <row r="610">
      <c r="A610" s="19"/>
      <c r="C610" s="19"/>
      <c r="J610" s="19"/>
    </row>
    <row r="611">
      <c r="A611" s="19"/>
      <c r="C611" s="19"/>
      <c r="J611" s="19"/>
    </row>
    <row r="612">
      <c r="A612" s="19"/>
      <c r="C612" s="19"/>
      <c r="J612" s="19"/>
    </row>
    <row r="613">
      <c r="A613" s="19"/>
      <c r="C613" s="19"/>
      <c r="J613" s="19"/>
    </row>
    <row r="614">
      <c r="A614" s="19"/>
      <c r="C614" s="19"/>
      <c r="J614" s="19"/>
    </row>
    <row r="615">
      <c r="A615" s="19"/>
      <c r="C615" s="19"/>
      <c r="J615" s="19"/>
    </row>
    <row r="616">
      <c r="A616" s="19"/>
      <c r="C616" s="19"/>
      <c r="J616" s="19"/>
    </row>
    <row r="617">
      <c r="A617" s="19"/>
      <c r="C617" s="19"/>
      <c r="J617" s="19"/>
    </row>
    <row r="618">
      <c r="A618" s="19"/>
      <c r="C618" s="19"/>
      <c r="J618" s="19"/>
    </row>
    <row r="619">
      <c r="A619" s="19"/>
      <c r="C619" s="19"/>
      <c r="J619" s="19"/>
    </row>
    <row r="620">
      <c r="A620" s="19"/>
      <c r="C620" s="19"/>
      <c r="J620" s="19"/>
    </row>
    <row r="621">
      <c r="A621" s="19"/>
      <c r="C621" s="19"/>
      <c r="J621" s="19"/>
    </row>
    <row r="622">
      <c r="A622" s="19"/>
      <c r="C622" s="19"/>
      <c r="J622" s="19"/>
    </row>
    <row r="623">
      <c r="A623" s="19"/>
      <c r="C623" s="19"/>
      <c r="J623" s="19"/>
    </row>
    <row r="624">
      <c r="A624" s="19"/>
      <c r="C624" s="19"/>
      <c r="J624" s="19"/>
    </row>
    <row r="625">
      <c r="A625" s="19"/>
      <c r="C625" s="19"/>
      <c r="J625" s="19"/>
    </row>
    <row r="626">
      <c r="A626" s="19"/>
      <c r="C626" s="19"/>
      <c r="J626" s="19"/>
    </row>
    <row r="627">
      <c r="A627" s="19"/>
      <c r="C627" s="19"/>
      <c r="J627" s="19"/>
    </row>
    <row r="628">
      <c r="A628" s="19"/>
      <c r="C628" s="19"/>
      <c r="J628" s="19"/>
    </row>
    <row r="629">
      <c r="A629" s="19"/>
      <c r="C629" s="19"/>
      <c r="J629" s="19"/>
    </row>
    <row r="630">
      <c r="A630" s="19"/>
      <c r="C630" s="19"/>
      <c r="J630" s="19"/>
    </row>
    <row r="631">
      <c r="A631" s="19"/>
      <c r="C631" s="19"/>
      <c r="J631" s="19"/>
    </row>
    <row r="632">
      <c r="A632" s="19"/>
      <c r="C632" s="19"/>
      <c r="J632" s="19"/>
    </row>
    <row r="633">
      <c r="A633" s="19"/>
      <c r="C633" s="19"/>
      <c r="J633" s="19"/>
    </row>
    <row r="634">
      <c r="A634" s="19"/>
      <c r="C634" s="19"/>
      <c r="J634" s="19"/>
    </row>
    <row r="635">
      <c r="A635" s="19"/>
      <c r="C635" s="19"/>
      <c r="J635" s="19"/>
    </row>
    <row r="636">
      <c r="A636" s="19"/>
      <c r="C636" s="19"/>
      <c r="J636" s="19"/>
    </row>
    <row r="637">
      <c r="A637" s="19"/>
      <c r="C637" s="19"/>
      <c r="J637" s="19"/>
    </row>
    <row r="638">
      <c r="A638" s="19"/>
      <c r="C638" s="19"/>
      <c r="J638" s="19"/>
    </row>
    <row r="639">
      <c r="A639" s="19"/>
      <c r="C639" s="19"/>
      <c r="J639" s="19"/>
    </row>
    <row r="640">
      <c r="A640" s="19"/>
      <c r="C640" s="19"/>
      <c r="J640" s="19"/>
    </row>
    <row r="641">
      <c r="A641" s="19"/>
      <c r="C641" s="19"/>
      <c r="J641" s="19"/>
    </row>
    <row r="642">
      <c r="A642" s="19"/>
      <c r="C642" s="19"/>
      <c r="J642" s="19"/>
    </row>
    <row r="643">
      <c r="A643" s="19"/>
      <c r="C643" s="19"/>
      <c r="J643" s="19"/>
    </row>
    <row r="644">
      <c r="A644" s="19"/>
      <c r="C644" s="19"/>
      <c r="J644" s="19"/>
    </row>
    <row r="645">
      <c r="A645" s="19"/>
      <c r="C645" s="19"/>
      <c r="J645" s="19"/>
    </row>
    <row r="646">
      <c r="A646" s="19"/>
      <c r="C646" s="19"/>
      <c r="J646" s="19"/>
    </row>
    <row r="647">
      <c r="A647" s="19"/>
      <c r="C647" s="19"/>
      <c r="J647" s="19"/>
    </row>
    <row r="648">
      <c r="A648" s="19"/>
      <c r="C648" s="19"/>
      <c r="J648" s="19"/>
    </row>
    <row r="649">
      <c r="A649" s="19"/>
      <c r="C649" s="19"/>
      <c r="J649" s="19"/>
    </row>
    <row r="650">
      <c r="A650" s="19"/>
      <c r="C650" s="19"/>
      <c r="J650" s="19"/>
    </row>
    <row r="651">
      <c r="A651" s="19"/>
      <c r="C651" s="19"/>
      <c r="J651" s="19"/>
    </row>
    <row r="652">
      <c r="A652" s="19"/>
      <c r="C652" s="19"/>
      <c r="J652" s="19"/>
    </row>
    <row r="653">
      <c r="A653" s="19"/>
      <c r="C653" s="19"/>
      <c r="J653" s="19"/>
    </row>
    <row r="654">
      <c r="A654" s="19"/>
      <c r="C654" s="19"/>
      <c r="J654" s="19"/>
    </row>
    <row r="655">
      <c r="A655" s="19"/>
      <c r="C655" s="19"/>
      <c r="J655" s="19"/>
    </row>
    <row r="656">
      <c r="A656" s="19"/>
      <c r="C656" s="19"/>
      <c r="J656" s="19"/>
    </row>
    <row r="657">
      <c r="A657" s="19"/>
      <c r="C657" s="19"/>
      <c r="J657" s="19"/>
    </row>
    <row r="658">
      <c r="A658" s="19"/>
      <c r="C658" s="19"/>
      <c r="J658" s="19"/>
    </row>
    <row r="659">
      <c r="A659" s="19"/>
      <c r="C659" s="19"/>
      <c r="J659" s="19"/>
    </row>
    <row r="660">
      <c r="A660" s="19"/>
      <c r="C660" s="19"/>
      <c r="J660" s="19"/>
    </row>
    <row r="661">
      <c r="A661" s="19"/>
      <c r="C661" s="19"/>
      <c r="J661" s="19"/>
    </row>
    <row r="662">
      <c r="A662" s="19"/>
      <c r="C662" s="19"/>
      <c r="J662" s="19"/>
    </row>
    <row r="663">
      <c r="A663" s="19"/>
      <c r="C663" s="19"/>
      <c r="J663" s="19"/>
    </row>
    <row r="664">
      <c r="A664" s="19"/>
      <c r="C664" s="19"/>
      <c r="J664" s="19"/>
    </row>
    <row r="665">
      <c r="A665" s="19"/>
      <c r="C665" s="19"/>
      <c r="J665" s="19"/>
    </row>
    <row r="666">
      <c r="A666" s="19"/>
      <c r="C666" s="19"/>
      <c r="J666" s="19"/>
    </row>
    <row r="667">
      <c r="A667" s="19"/>
      <c r="C667" s="19"/>
      <c r="J667" s="19"/>
    </row>
    <row r="668">
      <c r="A668" s="19"/>
      <c r="C668" s="19"/>
      <c r="J668" s="19"/>
    </row>
    <row r="669">
      <c r="A669" s="19"/>
      <c r="C669" s="19"/>
      <c r="J669" s="19"/>
    </row>
    <row r="670">
      <c r="A670" s="19"/>
      <c r="C670" s="19"/>
      <c r="J670" s="19"/>
    </row>
    <row r="671">
      <c r="A671" s="19"/>
      <c r="C671" s="19"/>
      <c r="J671" s="19"/>
    </row>
    <row r="672">
      <c r="A672" s="19"/>
      <c r="C672" s="19"/>
      <c r="J672" s="19"/>
    </row>
    <row r="673">
      <c r="A673" s="19"/>
      <c r="C673" s="19"/>
      <c r="J673" s="19"/>
    </row>
    <row r="674">
      <c r="A674" s="19"/>
      <c r="C674" s="19"/>
      <c r="J674" s="19"/>
    </row>
    <row r="675">
      <c r="A675" s="19"/>
      <c r="C675" s="19"/>
      <c r="J675" s="19"/>
    </row>
    <row r="676">
      <c r="A676" s="19"/>
      <c r="C676" s="19"/>
      <c r="J676" s="19"/>
    </row>
    <row r="677">
      <c r="A677" s="19"/>
      <c r="C677" s="19"/>
      <c r="J677" s="19"/>
    </row>
    <row r="678">
      <c r="A678" s="19"/>
      <c r="C678" s="19"/>
      <c r="J678" s="19"/>
    </row>
    <row r="679">
      <c r="A679" s="19"/>
      <c r="C679" s="19"/>
      <c r="J679" s="19"/>
    </row>
    <row r="680">
      <c r="A680" s="19"/>
      <c r="C680" s="19"/>
      <c r="J680" s="19"/>
    </row>
    <row r="681">
      <c r="A681" s="19"/>
      <c r="C681" s="19"/>
      <c r="J681" s="19"/>
    </row>
    <row r="682">
      <c r="A682" s="19"/>
      <c r="C682" s="19"/>
      <c r="J682" s="19"/>
    </row>
    <row r="683">
      <c r="A683" s="19"/>
      <c r="C683" s="19"/>
      <c r="J683" s="19"/>
    </row>
    <row r="684">
      <c r="A684" s="19"/>
      <c r="C684" s="19"/>
      <c r="J684" s="19"/>
    </row>
    <row r="685">
      <c r="A685" s="19"/>
      <c r="C685" s="19"/>
      <c r="J685" s="19"/>
    </row>
    <row r="686">
      <c r="A686" s="19"/>
      <c r="C686" s="19"/>
      <c r="J686" s="19"/>
    </row>
    <row r="687">
      <c r="A687" s="19"/>
      <c r="C687" s="19"/>
      <c r="J687" s="19"/>
    </row>
    <row r="688">
      <c r="A688" s="19"/>
      <c r="C688" s="19"/>
      <c r="J688" s="19"/>
    </row>
    <row r="689">
      <c r="A689" s="19"/>
      <c r="C689" s="19"/>
      <c r="J689" s="19"/>
    </row>
    <row r="690">
      <c r="A690" s="19"/>
      <c r="C690" s="19"/>
      <c r="J690" s="19"/>
    </row>
    <row r="691">
      <c r="A691" s="19"/>
      <c r="C691" s="19"/>
      <c r="J691" s="19"/>
    </row>
    <row r="692">
      <c r="A692" s="19"/>
      <c r="C692" s="19"/>
      <c r="J692" s="19"/>
    </row>
    <row r="693">
      <c r="A693" s="19"/>
      <c r="C693" s="19"/>
      <c r="J693" s="19"/>
    </row>
    <row r="694">
      <c r="A694" s="19"/>
      <c r="C694" s="19"/>
      <c r="J694" s="19"/>
    </row>
    <row r="695">
      <c r="A695" s="19"/>
      <c r="C695" s="19"/>
      <c r="J695" s="19"/>
    </row>
    <row r="696">
      <c r="A696" s="19"/>
      <c r="C696" s="19"/>
      <c r="J696" s="19"/>
    </row>
    <row r="697">
      <c r="A697" s="19"/>
      <c r="C697" s="19"/>
      <c r="J697" s="19"/>
    </row>
    <row r="698">
      <c r="A698" s="19"/>
      <c r="C698" s="19"/>
      <c r="J698" s="19"/>
    </row>
    <row r="699">
      <c r="A699" s="19"/>
      <c r="C699" s="19"/>
      <c r="J699" s="19"/>
    </row>
    <row r="700">
      <c r="A700" s="19"/>
      <c r="C700" s="19"/>
      <c r="J700" s="19"/>
    </row>
    <row r="701">
      <c r="A701" s="19"/>
      <c r="C701" s="19"/>
      <c r="J701" s="19"/>
    </row>
    <row r="702">
      <c r="A702" s="19"/>
      <c r="C702" s="19"/>
      <c r="J702" s="19"/>
    </row>
    <row r="703">
      <c r="A703" s="19"/>
      <c r="C703" s="19"/>
      <c r="J703" s="19"/>
    </row>
    <row r="704">
      <c r="A704" s="19"/>
      <c r="C704" s="19"/>
      <c r="J704" s="19"/>
    </row>
    <row r="705">
      <c r="A705" s="19"/>
      <c r="C705" s="19"/>
      <c r="J705" s="19"/>
    </row>
    <row r="706">
      <c r="A706" s="19"/>
      <c r="C706" s="19"/>
      <c r="J706" s="19"/>
    </row>
    <row r="707">
      <c r="A707" s="19"/>
      <c r="C707" s="19"/>
      <c r="J707" s="19"/>
    </row>
    <row r="708">
      <c r="A708" s="19"/>
      <c r="C708" s="19"/>
      <c r="J708" s="19"/>
    </row>
    <row r="709">
      <c r="A709" s="19"/>
      <c r="C709" s="19"/>
      <c r="J709" s="19"/>
    </row>
    <row r="710">
      <c r="A710" s="19"/>
      <c r="C710" s="19"/>
      <c r="J710" s="19"/>
    </row>
    <row r="711">
      <c r="A711" s="19"/>
      <c r="C711" s="19"/>
      <c r="J711" s="19"/>
    </row>
    <row r="712">
      <c r="A712" s="19"/>
      <c r="C712" s="19"/>
      <c r="J712" s="19"/>
    </row>
    <row r="713">
      <c r="A713" s="19"/>
      <c r="C713" s="19"/>
      <c r="J713" s="19"/>
    </row>
    <row r="714">
      <c r="A714" s="19"/>
      <c r="C714" s="19"/>
      <c r="J714" s="19"/>
    </row>
    <row r="715">
      <c r="A715" s="19"/>
      <c r="C715" s="19"/>
      <c r="J715" s="19"/>
    </row>
    <row r="716">
      <c r="A716" s="19"/>
      <c r="C716" s="19"/>
      <c r="J716" s="19"/>
    </row>
    <row r="717">
      <c r="A717" s="19"/>
      <c r="C717" s="19"/>
      <c r="J717" s="19"/>
    </row>
    <row r="718">
      <c r="A718" s="19"/>
      <c r="C718" s="19"/>
      <c r="J718" s="19"/>
    </row>
    <row r="719">
      <c r="A719" s="19"/>
      <c r="C719" s="19"/>
      <c r="J719" s="19"/>
    </row>
    <row r="720">
      <c r="A720" s="19"/>
      <c r="C720" s="19"/>
      <c r="J720" s="19"/>
    </row>
    <row r="721">
      <c r="A721" s="19"/>
      <c r="C721" s="19"/>
      <c r="J721" s="19"/>
    </row>
    <row r="722">
      <c r="A722" s="19"/>
      <c r="C722" s="19"/>
      <c r="J722" s="19"/>
    </row>
    <row r="723">
      <c r="A723" s="19"/>
      <c r="C723" s="19"/>
      <c r="J723" s="19"/>
    </row>
    <row r="724">
      <c r="A724" s="19"/>
      <c r="C724" s="19"/>
      <c r="J724" s="19"/>
    </row>
    <row r="725">
      <c r="A725" s="19"/>
      <c r="C725" s="19"/>
      <c r="J725" s="19"/>
    </row>
    <row r="726">
      <c r="A726" s="19"/>
      <c r="C726" s="19"/>
      <c r="J726" s="19"/>
    </row>
    <row r="727">
      <c r="A727" s="19"/>
      <c r="C727" s="19"/>
      <c r="J727" s="19"/>
    </row>
    <row r="728">
      <c r="A728" s="19"/>
      <c r="C728" s="19"/>
      <c r="J728" s="19"/>
    </row>
    <row r="729">
      <c r="A729" s="19"/>
      <c r="C729" s="19"/>
      <c r="J729" s="19"/>
    </row>
    <row r="730">
      <c r="A730" s="19"/>
      <c r="C730" s="19"/>
      <c r="J730" s="19"/>
    </row>
    <row r="731">
      <c r="A731" s="19"/>
      <c r="C731" s="19"/>
      <c r="J731" s="19"/>
    </row>
    <row r="732">
      <c r="A732" s="19"/>
      <c r="C732" s="19"/>
      <c r="J732" s="19"/>
    </row>
    <row r="733">
      <c r="A733" s="19"/>
      <c r="C733" s="19"/>
      <c r="J733" s="19"/>
    </row>
    <row r="734">
      <c r="A734" s="19"/>
      <c r="C734" s="19"/>
      <c r="J734" s="19"/>
    </row>
    <row r="735">
      <c r="A735" s="19"/>
      <c r="C735" s="19"/>
      <c r="J735" s="19"/>
    </row>
    <row r="736">
      <c r="A736" s="19"/>
      <c r="C736" s="19"/>
      <c r="J736" s="19"/>
    </row>
    <row r="737">
      <c r="A737" s="19"/>
      <c r="C737" s="19"/>
      <c r="J737" s="19"/>
    </row>
    <row r="738">
      <c r="A738" s="19"/>
      <c r="C738" s="19"/>
      <c r="J738" s="19"/>
    </row>
    <row r="739">
      <c r="A739" s="19"/>
      <c r="C739" s="19"/>
      <c r="J739" s="19"/>
    </row>
    <row r="740">
      <c r="A740" s="19"/>
      <c r="C740" s="19"/>
      <c r="J740" s="19"/>
    </row>
    <row r="741">
      <c r="A741" s="19"/>
      <c r="C741" s="19"/>
      <c r="J741" s="19"/>
    </row>
    <row r="742">
      <c r="A742" s="19"/>
      <c r="C742" s="19"/>
      <c r="J742" s="19"/>
    </row>
    <row r="743">
      <c r="A743" s="19"/>
      <c r="C743" s="19"/>
      <c r="J743" s="19"/>
    </row>
    <row r="744">
      <c r="A744" s="19"/>
      <c r="C744" s="19"/>
      <c r="J744" s="19"/>
    </row>
    <row r="745">
      <c r="A745" s="19"/>
      <c r="C745" s="19"/>
      <c r="J745" s="19"/>
    </row>
    <row r="746">
      <c r="A746" s="19"/>
      <c r="C746" s="19"/>
      <c r="J746" s="19"/>
    </row>
    <row r="747">
      <c r="A747" s="19"/>
      <c r="C747" s="19"/>
      <c r="J747" s="19"/>
    </row>
    <row r="748">
      <c r="A748" s="19"/>
      <c r="C748" s="19"/>
      <c r="J748" s="19"/>
    </row>
    <row r="749">
      <c r="A749" s="19"/>
      <c r="C749" s="19"/>
      <c r="J749" s="19"/>
    </row>
    <row r="750">
      <c r="A750" s="19"/>
      <c r="C750" s="19"/>
      <c r="J750" s="19"/>
    </row>
    <row r="751">
      <c r="A751" s="19"/>
      <c r="C751" s="19"/>
      <c r="J751" s="19"/>
    </row>
    <row r="752">
      <c r="A752" s="19"/>
      <c r="C752" s="19"/>
      <c r="J752" s="19"/>
    </row>
    <row r="753">
      <c r="A753" s="19"/>
      <c r="C753" s="19"/>
      <c r="J753" s="19"/>
    </row>
    <row r="754">
      <c r="A754" s="19"/>
      <c r="C754" s="19"/>
      <c r="J754" s="19"/>
    </row>
    <row r="755">
      <c r="A755" s="19"/>
      <c r="C755" s="19"/>
      <c r="J755" s="19"/>
    </row>
    <row r="756">
      <c r="A756" s="19"/>
      <c r="C756" s="19"/>
      <c r="J756" s="19"/>
    </row>
    <row r="757">
      <c r="A757" s="19"/>
      <c r="C757" s="19"/>
      <c r="J757" s="19"/>
    </row>
    <row r="758">
      <c r="A758" s="19"/>
      <c r="C758" s="19"/>
      <c r="J758" s="19"/>
    </row>
    <row r="759">
      <c r="A759" s="19"/>
      <c r="C759" s="19"/>
      <c r="J759" s="19"/>
    </row>
    <row r="760">
      <c r="A760" s="19"/>
      <c r="C760" s="19"/>
      <c r="J760" s="19"/>
    </row>
    <row r="761">
      <c r="A761" s="19"/>
      <c r="C761" s="19"/>
      <c r="J761" s="19"/>
    </row>
    <row r="762">
      <c r="A762" s="19"/>
      <c r="C762" s="19"/>
      <c r="J762" s="19"/>
    </row>
    <row r="763">
      <c r="A763" s="19"/>
      <c r="C763" s="19"/>
      <c r="J763" s="19"/>
    </row>
    <row r="764">
      <c r="A764" s="19"/>
      <c r="C764" s="19"/>
      <c r="J764" s="19"/>
    </row>
    <row r="765">
      <c r="A765" s="19"/>
      <c r="C765" s="19"/>
      <c r="J765" s="19"/>
    </row>
    <row r="766">
      <c r="A766" s="19"/>
      <c r="C766" s="19"/>
      <c r="J766" s="19"/>
    </row>
    <row r="767">
      <c r="A767" s="19"/>
      <c r="C767" s="19"/>
      <c r="J767" s="19"/>
    </row>
    <row r="768">
      <c r="A768" s="19"/>
      <c r="C768" s="19"/>
      <c r="J768" s="19"/>
    </row>
    <row r="769">
      <c r="A769" s="19"/>
      <c r="C769" s="19"/>
      <c r="J769" s="19"/>
    </row>
    <row r="770">
      <c r="A770" s="19"/>
      <c r="C770" s="19"/>
      <c r="J770" s="19"/>
    </row>
    <row r="771">
      <c r="A771" s="19"/>
      <c r="C771" s="19"/>
      <c r="J771" s="19"/>
    </row>
    <row r="772">
      <c r="A772" s="19"/>
      <c r="C772" s="19"/>
      <c r="J772" s="19"/>
    </row>
    <row r="773">
      <c r="A773" s="19"/>
      <c r="C773" s="19"/>
      <c r="J773" s="19"/>
    </row>
    <row r="774">
      <c r="A774" s="19"/>
      <c r="C774" s="19"/>
      <c r="J774" s="19"/>
    </row>
    <row r="775">
      <c r="A775" s="19"/>
      <c r="C775" s="19"/>
      <c r="J775" s="19"/>
    </row>
    <row r="776">
      <c r="A776" s="19"/>
      <c r="C776" s="19"/>
      <c r="J776" s="19"/>
    </row>
    <row r="777">
      <c r="A777" s="19"/>
      <c r="C777" s="19"/>
      <c r="J777" s="19"/>
    </row>
    <row r="778">
      <c r="A778" s="19"/>
      <c r="C778" s="19"/>
      <c r="J778" s="19"/>
    </row>
    <row r="779">
      <c r="A779" s="19"/>
      <c r="C779" s="19"/>
      <c r="J779" s="19"/>
    </row>
    <row r="780">
      <c r="A780" s="19"/>
      <c r="C780" s="19"/>
      <c r="J780" s="19"/>
    </row>
    <row r="781">
      <c r="A781" s="19"/>
      <c r="C781" s="19"/>
      <c r="J781" s="19"/>
    </row>
    <row r="782">
      <c r="A782" s="19"/>
      <c r="C782" s="19"/>
      <c r="J782" s="19"/>
    </row>
    <row r="783">
      <c r="A783" s="19"/>
      <c r="C783" s="19"/>
      <c r="J783" s="19"/>
    </row>
    <row r="784">
      <c r="A784" s="19"/>
      <c r="C784" s="19"/>
      <c r="J784" s="19"/>
    </row>
    <row r="785">
      <c r="A785" s="19"/>
      <c r="C785" s="19"/>
      <c r="J785" s="19"/>
    </row>
    <row r="786">
      <c r="A786" s="19"/>
      <c r="C786" s="19"/>
      <c r="J786" s="19"/>
    </row>
    <row r="787">
      <c r="A787" s="19"/>
      <c r="C787" s="19"/>
      <c r="J787" s="19"/>
    </row>
    <row r="788">
      <c r="A788" s="19"/>
      <c r="C788" s="19"/>
      <c r="J788" s="19"/>
    </row>
    <row r="789">
      <c r="A789" s="19"/>
      <c r="C789" s="19"/>
      <c r="J789" s="19"/>
    </row>
    <row r="790">
      <c r="A790" s="19"/>
      <c r="C790" s="19"/>
      <c r="J790" s="19"/>
    </row>
    <row r="791">
      <c r="A791" s="19"/>
      <c r="C791" s="19"/>
      <c r="J791" s="19"/>
    </row>
    <row r="792">
      <c r="A792" s="19"/>
      <c r="C792" s="19"/>
      <c r="J792" s="19"/>
    </row>
    <row r="793">
      <c r="A793" s="19"/>
      <c r="C793" s="19"/>
      <c r="J793" s="19"/>
    </row>
    <row r="794">
      <c r="A794" s="19"/>
      <c r="C794" s="19"/>
      <c r="J794" s="19"/>
    </row>
    <row r="795">
      <c r="A795" s="19"/>
      <c r="C795" s="19"/>
      <c r="J795" s="19"/>
    </row>
    <row r="796">
      <c r="A796" s="19"/>
      <c r="C796" s="19"/>
      <c r="J796" s="19"/>
    </row>
    <row r="797">
      <c r="A797" s="19"/>
      <c r="C797" s="19"/>
      <c r="J797" s="19"/>
    </row>
    <row r="798">
      <c r="A798" s="19"/>
      <c r="C798" s="19"/>
      <c r="J798" s="19"/>
    </row>
    <row r="799">
      <c r="A799" s="19"/>
      <c r="C799" s="19"/>
      <c r="J799" s="19"/>
    </row>
    <row r="800">
      <c r="A800" s="19"/>
      <c r="C800" s="19"/>
      <c r="J800" s="19"/>
    </row>
    <row r="801">
      <c r="A801" s="19"/>
      <c r="C801" s="19"/>
      <c r="J801" s="19"/>
    </row>
    <row r="802">
      <c r="A802" s="19"/>
      <c r="C802" s="19"/>
      <c r="J802" s="19"/>
    </row>
    <row r="803">
      <c r="A803" s="19"/>
      <c r="C803" s="19"/>
      <c r="J803" s="19"/>
    </row>
    <row r="804">
      <c r="A804" s="19"/>
      <c r="C804" s="19"/>
      <c r="J804" s="19"/>
    </row>
    <row r="805">
      <c r="A805" s="19"/>
      <c r="C805" s="19"/>
      <c r="J805" s="19"/>
    </row>
    <row r="806">
      <c r="A806" s="19"/>
      <c r="C806" s="19"/>
      <c r="J806" s="19"/>
    </row>
    <row r="807">
      <c r="A807" s="19"/>
      <c r="C807" s="19"/>
      <c r="J807" s="19"/>
    </row>
    <row r="808">
      <c r="A808" s="19"/>
      <c r="C808" s="19"/>
      <c r="J808" s="19"/>
    </row>
    <row r="809">
      <c r="A809" s="19"/>
      <c r="C809" s="19"/>
      <c r="J809" s="19"/>
    </row>
    <row r="810">
      <c r="A810" s="19"/>
      <c r="C810" s="19"/>
      <c r="J810" s="19"/>
    </row>
    <row r="811">
      <c r="A811" s="19"/>
      <c r="C811" s="19"/>
      <c r="J811" s="19"/>
    </row>
    <row r="812">
      <c r="A812" s="19"/>
      <c r="C812" s="19"/>
      <c r="J812" s="19"/>
    </row>
    <row r="813">
      <c r="A813" s="19"/>
      <c r="C813" s="19"/>
      <c r="J813" s="19"/>
    </row>
    <row r="814">
      <c r="A814" s="19"/>
      <c r="C814" s="19"/>
      <c r="J814" s="19"/>
    </row>
    <row r="815">
      <c r="A815" s="19"/>
      <c r="C815" s="19"/>
      <c r="J815" s="19"/>
    </row>
    <row r="816">
      <c r="A816" s="19"/>
      <c r="C816" s="19"/>
      <c r="J816" s="19"/>
    </row>
    <row r="817">
      <c r="A817" s="19"/>
      <c r="C817" s="19"/>
      <c r="J817" s="19"/>
    </row>
    <row r="818">
      <c r="A818" s="19"/>
      <c r="C818" s="19"/>
      <c r="J818" s="19"/>
    </row>
    <row r="819">
      <c r="A819" s="19"/>
      <c r="C819" s="19"/>
      <c r="J819" s="19"/>
    </row>
    <row r="820">
      <c r="A820" s="19"/>
      <c r="C820" s="19"/>
      <c r="J820" s="19"/>
    </row>
    <row r="821">
      <c r="A821" s="19"/>
      <c r="C821" s="19"/>
      <c r="J821" s="19"/>
    </row>
    <row r="822">
      <c r="A822" s="19"/>
      <c r="C822" s="19"/>
      <c r="J822" s="19"/>
    </row>
    <row r="823">
      <c r="A823" s="19"/>
      <c r="C823" s="19"/>
      <c r="J823" s="19"/>
    </row>
    <row r="824">
      <c r="A824" s="19"/>
      <c r="C824" s="19"/>
      <c r="J824" s="19"/>
    </row>
    <row r="825">
      <c r="A825" s="19"/>
      <c r="C825" s="19"/>
      <c r="J825" s="19"/>
    </row>
    <row r="826">
      <c r="A826" s="19"/>
      <c r="C826" s="19"/>
      <c r="J826" s="19"/>
    </row>
    <row r="827">
      <c r="A827" s="19"/>
      <c r="C827" s="19"/>
      <c r="J827" s="19"/>
    </row>
    <row r="828">
      <c r="A828" s="19"/>
      <c r="C828" s="19"/>
      <c r="J828" s="19"/>
    </row>
    <row r="829">
      <c r="A829" s="19"/>
      <c r="C829" s="19"/>
      <c r="J829" s="19"/>
    </row>
    <row r="830">
      <c r="A830" s="19"/>
      <c r="C830" s="19"/>
      <c r="J830" s="19"/>
    </row>
    <row r="831">
      <c r="A831" s="19"/>
      <c r="C831" s="19"/>
      <c r="J831" s="19"/>
    </row>
    <row r="832">
      <c r="A832" s="19"/>
      <c r="C832" s="19"/>
      <c r="J832" s="19"/>
    </row>
    <row r="833">
      <c r="A833" s="19"/>
      <c r="C833" s="19"/>
      <c r="J833" s="19"/>
    </row>
    <row r="834">
      <c r="A834" s="19"/>
      <c r="C834" s="19"/>
      <c r="J834" s="19"/>
    </row>
    <row r="835">
      <c r="A835" s="19"/>
      <c r="C835" s="19"/>
      <c r="J835" s="19"/>
    </row>
    <row r="836">
      <c r="A836" s="19"/>
      <c r="C836" s="19"/>
      <c r="J836" s="19"/>
    </row>
    <row r="837">
      <c r="A837" s="19"/>
      <c r="C837" s="19"/>
      <c r="J837" s="19"/>
    </row>
    <row r="838">
      <c r="A838" s="19"/>
      <c r="C838" s="19"/>
      <c r="J838" s="19"/>
    </row>
    <row r="839">
      <c r="A839" s="19"/>
      <c r="C839" s="19"/>
      <c r="J839" s="19"/>
    </row>
    <row r="840">
      <c r="A840" s="19"/>
      <c r="C840" s="19"/>
      <c r="J840" s="19"/>
    </row>
    <row r="841">
      <c r="A841" s="19"/>
      <c r="C841" s="19"/>
      <c r="J841" s="19"/>
    </row>
    <row r="842">
      <c r="A842" s="19"/>
      <c r="C842" s="19"/>
      <c r="J842" s="19"/>
    </row>
    <row r="843">
      <c r="A843" s="19"/>
      <c r="C843" s="19"/>
      <c r="J843" s="19"/>
    </row>
    <row r="844">
      <c r="A844" s="19"/>
      <c r="C844" s="19"/>
      <c r="J844" s="19"/>
    </row>
    <row r="845">
      <c r="A845" s="19"/>
      <c r="C845" s="19"/>
      <c r="J845" s="19"/>
    </row>
    <row r="846">
      <c r="A846" s="19"/>
      <c r="C846" s="19"/>
      <c r="J846" s="19"/>
    </row>
    <row r="847">
      <c r="A847" s="19"/>
      <c r="C847" s="19"/>
      <c r="J847" s="19"/>
    </row>
    <row r="848">
      <c r="A848" s="19"/>
      <c r="C848" s="19"/>
      <c r="J848" s="19"/>
    </row>
    <row r="849">
      <c r="A849" s="19"/>
      <c r="C849" s="19"/>
      <c r="J849" s="19"/>
    </row>
    <row r="850">
      <c r="A850" s="19"/>
      <c r="C850" s="19"/>
      <c r="J850" s="19"/>
    </row>
    <row r="851">
      <c r="A851" s="19"/>
      <c r="C851" s="19"/>
      <c r="J851" s="19"/>
    </row>
    <row r="852">
      <c r="A852" s="19"/>
      <c r="C852" s="19"/>
      <c r="J852" s="19"/>
    </row>
    <row r="853">
      <c r="A853" s="19"/>
      <c r="C853" s="19"/>
      <c r="J853" s="19"/>
    </row>
    <row r="854">
      <c r="A854" s="19"/>
      <c r="C854" s="19"/>
      <c r="J854" s="19"/>
    </row>
    <row r="855">
      <c r="A855" s="19"/>
      <c r="C855" s="19"/>
      <c r="J855" s="19"/>
    </row>
    <row r="856">
      <c r="A856" s="19"/>
      <c r="C856" s="19"/>
      <c r="J856" s="19"/>
    </row>
    <row r="857">
      <c r="A857" s="19"/>
      <c r="C857" s="19"/>
      <c r="J857" s="19"/>
    </row>
    <row r="858">
      <c r="A858" s="19"/>
      <c r="C858" s="19"/>
      <c r="J858" s="19"/>
    </row>
    <row r="859">
      <c r="A859" s="19"/>
      <c r="C859" s="19"/>
      <c r="J859" s="19"/>
    </row>
    <row r="860">
      <c r="A860" s="19"/>
      <c r="C860" s="19"/>
      <c r="J860" s="19"/>
    </row>
    <row r="861">
      <c r="A861" s="19"/>
      <c r="C861" s="19"/>
      <c r="J861" s="19"/>
    </row>
    <row r="862">
      <c r="A862" s="19"/>
      <c r="C862" s="19"/>
      <c r="J862" s="19"/>
    </row>
    <row r="863">
      <c r="A863" s="19"/>
      <c r="C863" s="19"/>
      <c r="J863" s="19"/>
    </row>
    <row r="864">
      <c r="A864" s="19"/>
      <c r="C864" s="19"/>
      <c r="J864" s="19"/>
    </row>
    <row r="865">
      <c r="A865" s="19"/>
      <c r="C865" s="19"/>
      <c r="J865" s="19"/>
    </row>
    <row r="866">
      <c r="A866" s="19"/>
      <c r="C866" s="19"/>
      <c r="J866" s="19"/>
    </row>
    <row r="867">
      <c r="A867" s="19"/>
      <c r="C867" s="19"/>
      <c r="J867" s="19"/>
    </row>
    <row r="868">
      <c r="A868" s="19"/>
      <c r="C868" s="19"/>
      <c r="J868" s="19"/>
    </row>
    <row r="869">
      <c r="A869" s="19"/>
      <c r="C869" s="19"/>
      <c r="J869" s="19"/>
    </row>
    <row r="870">
      <c r="A870" s="19"/>
      <c r="C870" s="19"/>
      <c r="J870" s="19"/>
    </row>
    <row r="871">
      <c r="A871" s="19"/>
      <c r="C871" s="19"/>
      <c r="J871" s="19"/>
    </row>
    <row r="872">
      <c r="A872" s="19"/>
      <c r="C872" s="19"/>
      <c r="J872" s="19"/>
    </row>
    <row r="873">
      <c r="A873" s="19"/>
      <c r="C873" s="19"/>
      <c r="J873" s="19"/>
    </row>
    <row r="874">
      <c r="A874" s="19"/>
      <c r="C874" s="19"/>
      <c r="J874" s="19"/>
    </row>
    <row r="875">
      <c r="A875" s="19"/>
      <c r="C875" s="19"/>
      <c r="J875" s="19"/>
    </row>
    <row r="876">
      <c r="A876" s="19"/>
      <c r="C876" s="19"/>
      <c r="J876" s="19"/>
    </row>
    <row r="877">
      <c r="A877" s="19"/>
      <c r="C877" s="19"/>
      <c r="J877" s="19"/>
    </row>
    <row r="878">
      <c r="A878" s="19"/>
      <c r="C878" s="19"/>
      <c r="J878" s="19"/>
    </row>
    <row r="879">
      <c r="A879" s="19"/>
      <c r="C879" s="19"/>
      <c r="J879" s="19"/>
    </row>
    <row r="880">
      <c r="A880" s="19"/>
      <c r="C880" s="19"/>
      <c r="J880" s="19"/>
    </row>
    <row r="881">
      <c r="A881" s="19"/>
      <c r="C881" s="19"/>
      <c r="J881" s="19"/>
    </row>
    <row r="882">
      <c r="A882" s="19"/>
      <c r="C882" s="19"/>
      <c r="J882" s="19"/>
    </row>
    <row r="883">
      <c r="A883" s="19"/>
      <c r="C883" s="19"/>
      <c r="J883" s="19"/>
    </row>
    <row r="884">
      <c r="A884" s="19"/>
      <c r="C884" s="19"/>
      <c r="J884" s="19"/>
    </row>
    <row r="885">
      <c r="A885" s="19"/>
      <c r="C885" s="19"/>
      <c r="J885" s="19"/>
    </row>
    <row r="886">
      <c r="A886" s="19"/>
      <c r="C886" s="19"/>
      <c r="J886" s="19"/>
    </row>
    <row r="887">
      <c r="A887" s="19"/>
      <c r="C887" s="19"/>
      <c r="J887" s="19"/>
    </row>
    <row r="888">
      <c r="A888" s="19"/>
      <c r="C888" s="19"/>
      <c r="J888" s="19"/>
    </row>
    <row r="889">
      <c r="A889" s="19"/>
      <c r="C889" s="19"/>
      <c r="J889" s="19"/>
    </row>
    <row r="890">
      <c r="A890" s="19"/>
      <c r="C890" s="19"/>
      <c r="J890" s="19"/>
    </row>
    <row r="891">
      <c r="A891" s="19"/>
      <c r="C891" s="19"/>
      <c r="J891" s="19"/>
    </row>
    <row r="892">
      <c r="A892" s="19"/>
      <c r="C892" s="19"/>
      <c r="J892" s="19"/>
    </row>
    <row r="893">
      <c r="A893" s="19"/>
      <c r="C893" s="19"/>
      <c r="J893" s="19"/>
    </row>
    <row r="894">
      <c r="A894" s="19"/>
      <c r="C894" s="19"/>
      <c r="J894" s="19"/>
    </row>
    <row r="895">
      <c r="A895" s="19"/>
      <c r="C895" s="19"/>
      <c r="J895" s="19"/>
    </row>
    <row r="896">
      <c r="A896" s="19"/>
      <c r="C896" s="19"/>
      <c r="J896" s="19"/>
    </row>
    <row r="897">
      <c r="A897" s="19"/>
      <c r="C897" s="19"/>
      <c r="J897" s="19"/>
    </row>
    <row r="898">
      <c r="A898" s="19"/>
      <c r="C898" s="19"/>
      <c r="J898" s="19"/>
    </row>
    <row r="899">
      <c r="A899" s="19"/>
      <c r="C899" s="19"/>
      <c r="J899" s="19"/>
    </row>
    <row r="900">
      <c r="A900" s="19"/>
      <c r="C900" s="19"/>
      <c r="J900" s="19"/>
    </row>
    <row r="901">
      <c r="A901" s="19"/>
      <c r="C901" s="19"/>
      <c r="J901" s="19"/>
    </row>
    <row r="902">
      <c r="A902" s="19"/>
      <c r="C902" s="19"/>
      <c r="J902" s="19"/>
    </row>
    <row r="903">
      <c r="A903" s="19"/>
      <c r="C903" s="19"/>
      <c r="J903" s="19"/>
    </row>
    <row r="904">
      <c r="A904" s="19"/>
      <c r="C904" s="19"/>
      <c r="J904" s="19"/>
    </row>
    <row r="905">
      <c r="A905" s="19"/>
      <c r="C905" s="19"/>
      <c r="J905" s="19"/>
    </row>
    <row r="906">
      <c r="A906" s="19"/>
      <c r="C906" s="19"/>
      <c r="J906" s="19"/>
    </row>
    <row r="907">
      <c r="A907" s="19"/>
      <c r="C907" s="19"/>
      <c r="J907" s="19"/>
    </row>
    <row r="908">
      <c r="A908" s="19"/>
      <c r="C908" s="19"/>
      <c r="J908" s="19"/>
    </row>
    <row r="909">
      <c r="A909" s="19"/>
      <c r="C909" s="19"/>
      <c r="J909" s="19"/>
    </row>
    <row r="910">
      <c r="A910" s="19"/>
      <c r="C910" s="19"/>
      <c r="J910" s="19"/>
    </row>
    <row r="911">
      <c r="A911" s="19"/>
      <c r="C911" s="19"/>
      <c r="J911" s="19"/>
    </row>
    <row r="912">
      <c r="A912" s="19"/>
      <c r="C912" s="19"/>
      <c r="J912" s="19"/>
    </row>
    <row r="913">
      <c r="A913" s="19"/>
      <c r="C913" s="19"/>
      <c r="J913" s="19"/>
    </row>
    <row r="914">
      <c r="A914" s="19"/>
      <c r="C914" s="19"/>
      <c r="J914" s="19"/>
    </row>
    <row r="915">
      <c r="A915" s="19"/>
      <c r="C915" s="19"/>
      <c r="J915" s="19"/>
    </row>
    <row r="916">
      <c r="A916" s="19"/>
      <c r="C916" s="19"/>
      <c r="J916" s="19"/>
    </row>
    <row r="917">
      <c r="A917" s="19"/>
      <c r="C917" s="19"/>
      <c r="J917" s="19"/>
    </row>
    <row r="918">
      <c r="A918" s="19"/>
      <c r="C918" s="19"/>
      <c r="J918" s="19"/>
    </row>
    <row r="919">
      <c r="A919" s="19"/>
      <c r="C919" s="19"/>
      <c r="J919" s="19"/>
    </row>
    <row r="920">
      <c r="A920" s="19"/>
      <c r="C920" s="19"/>
      <c r="J920" s="19"/>
    </row>
    <row r="921">
      <c r="A921" s="19"/>
      <c r="C921" s="19"/>
      <c r="J921" s="19"/>
    </row>
    <row r="922">
      <c r="A922" s="19"/>
      <c r="C922" s="19"/>
      <c r="J922" s="19"/>
    </row>
    <row r="923">
      <c r="A923" s="19"/>
      <c r="C923" s="19"/>
      <c r="J923" s="19"/>
    </row>
    <row r="924">
      <c r="A924" s="19"/>
      <c r="C924" s="19"/>
      <c r="J924" s="19"/>
    </row>
    <row r="925">
      <c r="A925" s="19"/>
      <c r="C925" s="19"/>
      <c r="J925" s="19"/>
    </row>
    <row r="926">
      <c r="A926" s="19"/>
      <c r="C926" s="19"/>
      <c r="J926" s="19"/>
    </row>
    <row r="927">
      <c r="A927" s="19"/>
      <c r="C927" s="19"/>
      <c r="J927" s="19"/>
    </row>
    <row r="928">
      <c r="A928" s="19"/>
      <c r="C928" s="19"/>
      <c r="J928" s="19"/>
    </row>
    <row r="929">
      <c r="A929" s="19"/>
      <c r="C929" s="19"/>
      <c r="J929" s="19"/>
    </row>
    <row r="930">
      <c r="A930" s="19"/>
      <c r="C930" s="19"/>
      <c r="J930" s="19"/>
    </row>
    <row r="931">
      <c r="A931" s="19"/>
      <c r="C931" s="19"/>
      <c r="J931" s="19"/>
    </row>
    <row r="932">
      <c r="A932" s="19"/>
      <c r="C932" s="19"/>
      <c r="J932" s="19"/>
    </row>
    <row r="933">
      <c r="A933" s="19"/>
      <c r="C933" s="19"/>
      <c r="J933" s="19"/>
    </row>
    <row r="934">
      <c r="A934" s="19"/>
      <c r="C934" s="19"/>
      <c r="J934" s="19"/>
    </row>
    <row r="935">
      <c r="A935" s="19"/>
      <c r="C935" s="19"/>
      <c r="J935" s="19"/>
    </row>
    <row r="936">
      <c r="A936" s="19"/>
      <c r="C936" s="19"/>
      <c r="J936" s="19"/>
    </row>
    <row r="937">
      <c r="A937" s="19"/>
      <c r="C937" s="19"/>
      <c r="J937" s="19"/>
    </row>
    <row r="938">
      <c r="A938" s="19"/>
      <c r="C938" s="19"/>
      <c r="J938" s="19"/>
    </row>
    <row r="939">
      <c r="A939" s="19"/>
      <c r="C939" s="19"/>
      <c r="J939" s="19"/>
    </row>
    <row r="940">
      <c r="A940" s="19"/>
      <c r="C940" s="19"/>
      <c r="J940" s="19"/>
    </row>
    <row r="941">
      <c r="A941" s="19"/>
      <c r="C941" s="19"/>
      <c r="J941" s="19"/>
    </row>
    <row r="942">
      <c r="A942" s="19"/>
      <c r="C942" s="19"/>
      <c r="J942" s="19"/>
    </row>
    <row r="943">
      <c r="A943" s="19"/>
      <c r="C943" s="19"/>
      <c r="J943" s="19"/>
    </row>
    <row r="944">
      <c r="A944" s="19"/>
      <c r="C944" s="19"/>
      <c r="J944" s="19"/>
    </row>
    <row r="945">
      <c r="A945" s="19"/>
      <c r="C945" s="19"/>
      <c r="J945" s="19"/>
    </row>
    <row r="946">
      <c r="A946" s="19"/>
      <c r="C946" s="19"/>
      <c r="J946" s="19"/>
    </row>
    <row r="947">
      <c r="A947" s="19"/>
      <c r="C947" s="19"/>
      <c r="J947" s="19"/>
    </row>
    <row r="948">
      <c r="A948" s="19"/>
      <c r="C948" s="19"/>
      <c r="J948" s="19"/>
    </row>
    <row r="949">
      <c r="A949" s="19"/>
      <c r="C949" s="19"/>
      <c r="J949" s="19"/>
    </row>
    <row r="950">
      <c r="A950" s="19"/>
      <c r="C950" s="19"/>
      <c r="J950" s="19"/>
    </row>
    <row r="951">
      <c r="A951" s="19"/>
      <c r="C951" s="19"/>
      <c r="J951" s="19"/>
    </row>
    <row r="952">
      <c r="A952" s="19"/>
      <c r="C952" s="19"/>
      <c r="J952" s="19"/>
    </row>
    <row r="953">
      <c r="A953" s="19"/>
      <c r="C953" s="19"/>
      <c r="J953" s="19"/>
    </row>
    <row r="954">
      <c r="A954" s="19"/>
      <c r="C954" s="19"/>
      <c r="J954" s="19"/>
    </row>
    <row r="955">
      <c r="A955" s="19"/>
      <c r="C955" s="19"/>
      <c r="J955" s="19"/>
    </row>
    <row r="956">
      <c r="A956" s="19"/>
      <c r="C956" s="19"/>
      <c r="J956" s="19"/>
    </row>
    <row r="957">
      <c r="A957" s="19"/>
      <c r="C957" s="19"/>
      <c r="J957" s="19"/>
    </row>
    <row r="958">
      <c r="A958" s="19"/>
      <c r="C958" s="19"/>
      <c r="J958" s="19"/>
    </row>
    <row r="959">
      <c r="A959" s="19"/>
      <c r="C959" s="19"/>
      <c r="J959" s="19"/>
    </row>
    <row r="960">
      <c r="A960" s="19"/>
      <c r="C960" s="19"/>
      <c r="J960" s="19"/>
    </row>
    <row r="961">
      <c r="A961" s="19"/>
      <c r="C961" s="19"/>
      <c r="J961" s="19"/>
    </row>
    <row r="962">
      <c r="A962" s="19"/>
      <c r="C962" s="19"/>
      <c r="J962" s="19"/>
    </row>
    <row r="963">
      <c r="A963" s="19"/>
      <c r="C963" s="19"/>
      <c r="J963" s="19"/>
    </row>
    <row r="964">
      <c r="A964" s="19"/>
      <c r="C964" s="19"/>
      <c r="J964" s="19"/>
    </row>
    <row r="965">
      <c r="A965" s="19"/>
      <c r="C965" s="19"/>
      <c r="J965" s="19"/>
    </row>
    <row r="966">
      <c r="A966" s="19"/>
      <c r="C966" s="19"/>
      <c r="J966" s="19"/>
    </row>
    <row r="967">
      <c r="A967" s="19"/>
      <c r="C967" s="19"/>
      <c r="J967" s="19"/>
    </row>
    <row r="968">
      <c r="A968" s="19"/>
      <c r="C968" s="19"/>
      <c r="J968" s="19"/>
    </row>
    <row r="969">
      <c r="A969" s="19"/>
      <c r="C969" s="19"/>
      <c r="J969" s="19"/>
    </row>
    <row r="970">
      <c r="A970" s="19"/>
      <c r="C970" s="19"/>
      <c r="J970" s="19"/>
    </row>
    <row r="971">
      <c r="A971" s="19"/>
      <c r="C971" s="19"/>
      <c r="J971" s="19"/>
    </row>
    <row r="972">
      <c r="A972" s="19"/>
      <c r="C972" s="19"/>
      <c r="J972" s="19"/>
    </row>
    <row r="973">
      <c r="A973" s="19"/>
      <c r="C973" s="19"/>
      <c r="J973" s="19"/>
    </row>
    <row r="974">
      <c r="A974" s="19"/>
      <c r="C974" s="19"/>
      <c r="J974" s="19"/>
    </row>
    <row r="975">
      <c r="A975" s="19"/>
      <c r="C975" s="19"/>
      <c r="J975" s="19"/>
    </row>
    <row r="976">
      <c r="A976" s="19"/>
      <c r="C976" s="19"/>
      <c r="J976" s="19"/>
    </row>
    <row r="977">
      <c r="A977" s="19"/>
      <c r="C977" s="19"/>
      <c r="J977" s="19"/>
    </row>
    <row r="978">
      <c r="A978" s="19"/>
      <c r="C978" s="19"/>
      <c r="J978" s="19"/>
    </row>
    <row r="979">
      <c r="A979" s="19"/>
      <c r="C979" s="19"/>
      <c r="J979" s="19"/>
    </row>
    <row r="980">
      <c r="A980" s="19"/>
      <c r="C980" s="19"/>
      <c r="J980" s="19"/>
    </row>
    <row r="981">
      <c r="A981" s="19"/>
      <c r="C981" s="19"/>
      <c r="J981" s="19"/>
    </row>
    <row r="982">
      <c r="A982" s="19"/>
      <c r="C982" s="19"/>
      <c r="J982" s="19"/>
    </row>
    <row r="983">
      <c r="A983" s="19"/>
      <c r="C983" s="19"/>
      <c r="J983" s="19"/>
    </row>
    <row r="984">
      <c r="A984" s="19"/>
      <c r="C984" s="19"/>
      <c r="J984" s="19"/>
    </row>
    <row r="985">
      <c r="A985" s="19"/>
      <c r="C985" s="19"/>
      <c r="J985" s="19"/>
    </row>
    <row r="986">
      <c r="A986" s="19"/>
      <c r="C986" s="19"/>
      <c r="J986" s="19"/>
    </row>
    <row r="987">
      <c r="A987" s="19"/>
      <c r="C987" s="19"/>
      <c r="J987" s="19"/>
    </row>
    <row r="988">
      <c r="A988" s="19"/>
      <c r="C988" s="19"/>
      <c r="J988" s="19"/>
    </row>
    <row r="989">
      <c r="A989" s="19"/>
      <c r="C989" s="19"/>
      <c r="J989" s="19"/>
    </row>
    <row r="990">
      <c r="A990" s="19"/>
      <c r="C990" s="19"/>
      <c r="J990" s="19"/>
    </row>
    <row r="991">
      <c r="A991" s="19"/>
      <c r="C991" s="19"/>
      <c r="J991" s="19"/>
    </row>
    <row r="992">
      <c r="A992" s="19"/>
      <c r="C992" s="19"/>
      <c r="J992" s="19"/>
    </row>
    <row r="993">
      <c r="A993" s="19"/>
      <c r="C993" s="19"/>
      <c r="J993" s="19"/>
    </row>
    <row r="994">
      <c r="A994" s="19"/>
      <c r="C994" s="19"/>
      <c r="J994" s="19"/>
    </row>
    <row r="995">
      <c r="A995" s="19"/>
      <c r="C995" s="19"/>
      <c r="J995" s="19"/>
    </row>
    <row r="996">
      <c r="A996" s="19"/>
      <c r="C996" s="19"/>
      <c r="J996" s="19"/>
    </row>
    <row r="997">
      <c r="A997" s="19"/>
      <c r="C997" s="19"/>
      <c r="J997" s="19"/>
    </row>
    <row r="998">
      <c r="A998" s="19"/>
      <c r="C998" s="19"/>
      <c r="J998" s="19"/>
    </row>
    <row r="999">
      <c r="A999" s="19"/>
      <c r="C999" s="19"/>
      <c r="J999" s="19"/>
    </row>
    <row r="1000">
      <c r="A1000" s="19"/>
      <c r="C1000" s="19"/>
      <c r="J1000" s="19"/>
    </row>
    <row r="1001">
      <c r="A1001" s="19"/>
      <c r="C1001" s="19"/>
      <c r="J1001" s="19"/>
    </row>
    <row r="1002">
      <c r="A1002" s="19"/>
      <c r="C1002" s="19"/>
      <c r="J1002" s="19"/>
    </row>
  </sheetData>
  <autoFilter ref="$B$2:$F$26">
    <sortState ref="B2:F26">
      <sortCondition descending="1" ref="C2:C26"/>
    </sortState>
  </autoFilter>
  <mergeCells count="1">
    <mergeCell ref="A1:J1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75"/>
  </cols>
  <sheetData>
    <row r="1">
      <c r="A1" s="28" t="s">
        <v>31</v>
      </c>
      <c r="B1" s="28" t="s">
        <v>32</v>
      </c>
      <c r="C1" s="28" t="s">
        <v>33</v>
      </c>
      <c r="D1" s="28" t="s">
        <v>34</v>
      </c>
      <c r="E1" s="29" t="s">
        <v>35</v>
      </c>
    </row>
    <row r="2">
      <c r="A2" s="30">
        <v>1.0</v>
      </c>
      <c r="B2" s="30" t="s">
        <v>36</v>
      </c>
      <c r="C2" s="31" t="s">
        <v>37</v>
      </c>
      <c r="D2" s="30">
        <v>93912.0</v>
      </c>
      <c r="E2" s="32">
        <v>45724.0</v>
      </c>
    </row>
    <row r="3">
      <c r="A3" s="33">
        <v>2.0</v>
      </c>
      <c r="B3" s="33" t="s">
        <v>38</v>
      </c>
      <c r="C3" s="8" t="s">
        <v>7</v>
      </c>
      <c r="D3" s="33">
        <v>75080.0</v>
      </c>
      <c r="E3" s="34">
        <v>45754.0</v>
      </c>
    </row>
    <row r="4">
      <c r="A4" s="30">
        <v>3.0</v>
      </c>
      <c r="B4" s="33" t="s">
        <v>39</v>
      </c>
      <c r="C4" s="8" t="s">
        <v>40</v>
      </c>
      <c r="D4" s="33">
        <v>26159.0</v>
      </c>
      <c r="E4" s="34">
        <v>45641.0</v>
      </c>
    </row>
    <row r="5">
      <c r="A5" s="33">
        <v>4.0</v>
      </c>
      <c r="B5" s="33" t="s">
        <v>41</v>
      </c>
      <c r="C5" s="8" t="s">
        <v>9</v>
      </c>
      <c r="D5" s="33">
        <v>89042.0</v>
      </c>
      <c r="E5" s="34">
        <v>45747.0</v>
      </c>
    </row>
    <row r="6">
      <c r="A6" s="30">
        <v>5.0</v>
      </c>
      <c r="B6" s="33" t="s">
        <v>42</v>
      </c>
      <c r="C6" s="8" t="s">
        <v>43</v>
      </c>
      <c r="D6" s="33">
        <v>84578.0</v>
      </c>
      <c r="E6" s="34">
        <v>45754.0</v>
      </c>
    </row>
    <row r="7">
      <c r="A7" s="33">
        <v>6.0</v>
      </c>
      <c r="B7" s="33" t="s">
        <v>44</v>
      </c>
      <c r="C7" s="8" t="s">
        <v>45</v>
      </c>
      <c r="D7" s="33">
        <v>73360.0</v>
      </c>
      <c r="E7" s="34">
        <v>45754.0</v>
      </c>
    </row>
    <row r="8">
      <c r="A8" s="30">
        <v>7.0</v>
      </c>
      <c r="B8" s="33" t="s">
        <v>46</v>
      </c>
      <c r="C8" s="8" t="s">
        <v>47</v>
      </c>
      <c r="D8" s="33">
        <v>144404.0</v>
      </c>
      <c r="E8" s="34">
        <v>45747.0</v>
      </c>
    </row>
    <row r="9">
      <c r="A9" s="33">
        <v>8.0</v>
      </c>
      <c r="B9" s="33" t="s">
        <v>48</v>
      </c>
      <c r="C9" s="8" t="s">
        <v>49</v>
      </c>
      <c r="D9" s="33">
        <v>79679.0</v>
      </c>
      <c r="E9" s="34">
        <v>45754.0</v>
      </c>
    </row>
    <row r="10">
      <c r="A10" s="30">
        <v>9.0</v>
      </c>
      <c r="B10" s="33" t="s">
        <v>50</v>
      </c>
      <c r="C10" s="8" t="s">
        <v>51</v>
      </c>
      <c r="D10" s="33">
        <v>101094.0</v>
      </c>
      <c r="E10" s="34">
        <v>45754.0</v>
      </c>
    </row>
    <row r="11">
      <c r="A11" s="33">
        <v>10.0</v>
      </c>
      <c r="B11" s="33" t="s">
        <v>52</v>
      </c>
      <c r="C11" s="8" t="s">
        <v>53</v>
      </c>
      <c r="D11" s="33">
        <v>84585.0</v>
      </c>
      <c r="E11" s="34">
        <v>45514.0</v>
      </c>
    </row>
    <row r="12">
      <c r="A12" s="30">
        <v>11.0</v>
      </c>
      <c r="B12" s="33" t="s">
        <v>54</v>
      </c>
      <c r="C12" s="8" t="s">
        <v>10</v>
      </c>
      <c r="D12" s="33">
        <v>155690.0</v>
      </c>
      <c r="E12" s="34">
        <v>45754.0</v>
      </c>
    </row>
    <row r="13">
      <c r="A13" s="33">
        <v>12.0</v>
      </c>
      <c r="B13" s="33" t="s">
        <v>55</v>
      </c>
      <c r="C13" s="8" t="s">
        <v>11</v>
      </c>
      <c r="D13" s="33">
        <v>106764.0</v>
      </c>
      <c r="E13" s="34">
        <v>45641.0</v>
      </c>
    </row>
    <row r="14">
      <c r="A14" s="30">
        <v>13.0</v>
      </c>
      <c r="B14" s="33" t="s">
        <v>56</v>
      </c>
      <c r="C14" s="8" t="s">
        <v>57</v>
      </c>
      <c r="D14" s="33">
        <v>91435.0</v>
      </c>
      <c r="E14" s="34">
        <v>45754.0</v>
      </c>
    </row>
    <row r="15">
      <c r="A15" s="33">
        <v>14.0</v>
      </c>
      <c r="B15" s="33" t="s">
        <v>58</v>
      </c>
      <c r="C15" s="8" t="s">
        <v>12</v>
      </c>
      <c r="D15" s="33">
        <v>72385.0</v>
      </c>
      <c r="E15" s="34">
        <v>45754.0</v>
      </c>
    </row>
    <row r="16">
      <c r="A16" s="30">
        <v>15.0</v>
      </c>
      <c r="B16" s="33" t="s">
        <v>59</v>
      </c>
      <c r="C16" s="8" t="s">
        <v>60</v>
      </c>
      <c r="D16" s="33">
        <v>135622.0</v>
      </c>
      <c r="E16" s="34">
        <v>45390.0</v>
      </c>
    </row>
    <row r="17">
      <c r="A17" s="33">
        <v>16.0</v>
      </c>
      <c r="B17" s="33" t="s">
        <v>61</v>
      </c>
      <c r="C17" s="8" t="s">
        <v>13</v>
      </c>
      <c r="D17" s="33">
        <v>73529.0</v>
      </c>
      <c r="E17" s="34">
        <v>45754.0</v>
      </c>
    </row>
    <row r="18">
      <c r="A18" s="30">
        <v>17.0</v>
      </c>
      <c r="B18" s="33" t="s">
        <v>62</v>
      </c>
      <c r="C18" s="8" t="s">
        <v>15</v>
      </c>
      <c r="D18" s="33">
        <v>104768.0</v>
      </c>
      <c r="E18" s="34">
        <v>45754.0</v>
      </c>
    </row>
    <row r="19">
      <c r="A19" s="33">
        <v>18.0</v>
      </c>
      <c r="B19" s="33" t="s">
        <v>63</v>
      </c>
      <c r="C19" s="8" t="s">
        <v>64</v>
      </c>
      <c r="D19" s="33">
        <v>148566.0</v>
      </c>
      <c r="E19" s="34">
        <v>45649.0</v>
      </c>
    </row>
    <row r="20">
      <c r="A20" s="30">
        <v>19.0</v>
      </c>
      <c r="B20" s="33" t="s">
        <v>65</v>
      </c>
      <c r="C20" s="8" t="s">
        <v>66</v>
      </c>
      <c r="D20" s="33">
        <v>134598.0</v>
      </c>
      <c r="E20" s="34">
        <v>45535.0</v>
      </c>
    </row>
    <row r="21">
      <c r="A21" s="33">
        <v>20.0</v>
      </c>
      <c r="B21" s="33" t="s">
        <v>67</v>
      </c>
      <c r="C21" s="8" t="s">
        <v>68</v>
      </c>
      <c r="D21" s="33">
        <v>150000.0</v>
      </c>
      <c r="E21" s="34">
        <v>45754.0</v>
      </c>
    </row>
    <row r="22">
      <c r="A22" s="30">
        <v>21.0</v>
      </c>
      <c r="B22" s="33" t="s">
        <v>69</v>
      </c>
      <c r="C22" s="8" t="s">
        <v>70</v>
      </c>
      <c r="D22" s="33">
        <v>156427.0</v>
      </c>
      <c r="E22" s="34">
        <v>45558.0</v>
      </c>
    </row>
    <row r="23">
      <c r="A23" s="33">
        <v>22.0</v>
      </c>
      <c r="B23" s="33" t="s">
        <v>71</v>
      </c>
      <c r="C23" s="8" t="s">
        <v>72</v>
      </c>
      <c r="D23" s="33">
        <v>112655.0</v>
      </c>
      <c r="E23" s="34">
        <v>45327.0</v>
      </c>
    </row>
    <row r="24">
      <c r="A24" s="30">
        <v>23.0</v>
      </c>
      <c r="B24" s="33" t="s">
        <v>73</v>
      </c>
      <c r="C24" s="8" t="s">
        <v>16</v>
      </c>
      <c r="D24" s="33">
        <v>75077.0</v>
      </c>
      <c r="E24" s="34">
        <v>45724.0</v>
      </c>
    </row>
    <row r="25">
      <c r="A25" s="33">
        <v>24.0</v>
      </c>
      <c r="B25" s="33" t="s">
        <v>74</v>
      </c>
      <c r="C25" s="8" t="s">
        <v>17</v>
      </c>
      <c r="D25" s="33">
        <v>136238.0</v>
      </c>
      <c r="E25" s="34">
        <v>45718.0</v>
      </c>
    </row>
    <row r="26">
      <c r="A26" s="30">
        <v>25.0</v>
      </c>
      <c r="B26" s="33" t="s">
        <v>75</v>
      </c>
      <c r="C26" s="8" t="s">
        <v>76</v>
      </c>
      <c r="D26" s="33">
        <v>83046.0</v>
      </c>
      <c r="E26" s="34">
        <v>45724.0</v>
      </c>
    </row>
    <row r="27">
      <c r="A27" s="33">
        <v>26.0</v>
      </c>
      <c r="B27" s="33" t="s">
        <v>77</v>
      </c>
      <c r="C27" s="8" t="s">
        <v>18</v>
      </c>
      <c r="D27" s="33">
        <v>75081.0</v>
      </c>
      <c r="E27" s="34">
        <v>45754.0</v>
      </c>
    </row>
    <row r="28">
      <c r="A28" s="30">
        <v>27.0</v>
      </c>
      <c r="B28" s="33" t="s">
        <v>78</v>
      </c>
      <c r="C28" s="8" t="s">
        <v>79</v>
      </c>
      <c r="D28" s="33">
        <v>110107.0</v>
      </c>
      <c r="E28" s="34">
        <v>45641.0</v>
      </c>
    </row>
    <row r="29">
      <c r="A29" s="33">
        <v>28.0</v>
      </c>
      <c r="B29" s="33" t="s">
        <v>80</v>
      </c>
      <c r="C29" s="8" t="s">
        <v>81</v>
      </c>
      <c r="D29" s="33">
        <v>73551.0</v>
      </c>
      <c r="E29" s="34">
        <v>45750.0</v>
      </c>
    </row>
    <row r="30">
      <c r="A30" s="30">
        <v>29.0</v>
      </c>
      <c r="B30" s="33" t="s">
        <v>82</v>
      </c>
      <c r="C30" s="8" t="s">
        <v>83</v>
      </c>
      <c r="D30" s="33">
        <v>92852.0</v>
      </c>
      <c r="E30" s="34">
        <v>45754.0</v>
      </c>
    </row>
    <row r="31">
      <c r="A31" s="33">
        <v>30.0</v>
      </c>
      <c r="B31" s="33" t="s">
        <v>84</v>
      </c>
      <c r="C31" s="8" t="s">
        <v>19</v>
      </c>
      <c r="D31" s="33">
        <v>143119.0</v>
      </c>
      <c r="E31" s="34">
        <v>45754.0</v>
      </c>
    </row>
    <row r="32">
      <c r="A32" s="30">
        <v>31.0</v>
      </c>
      <c r="B32" s="33" t="s">
        <v>85</v>
      </c>
      <c r="C32" s="8" t="s">
        <v>86</v>
      </c>
      <c r="D32" s="33">
        <v>105235.0</v>
      </c>
      <c r="E32" s="34">
        <v>45514.0</v>
      </c>
    </row>
    <row r="33">
      <c r="A33" s="33">
        <v>32.0</v>
      </c>
      <c r="B33" s="33" t="s">
        <v>87</v>
      </c>
      <c r="C33" s="8" t="s">
        <v>88</v>
      </c>
      <c r="D33" s="33">
        <v>101082.0</v>
      </c>
      <c r="E33" s="34">
        <v>45754.0</v>
      </c>
    </row>
    <row r="34">
      <c r="A34" s="30">
        <v>33.0</v>
      </c>
      <c r="B34" s="33" t="s">
        <v>89</v>
      </c>
      <c r="C34" s="8" t="s">
        <v>8</v>
      </c>
      <c r="D34" s="33">
        <v>110113.0</v>
      </c>
      <c r="E34" s="34">
        <v>45514.0</v>
      </c>
    </row>
    <row r="35">
      <c r="A35" s="33">
        <v>34.0</v>
      </c>
      <c r="B35" s="33" t="s">
        <v>90</v>
      </c>
      <c r="C35" s="8" t="s">
        <v>91</v>
      </c>
      <c r="D35" s="33">
        <v>136234.0</v>
      </c>
      <c r="E35" s="34">
        <v>45535.0</v>
      </c>
    </row>
    <row r="36">
      <c r="A36" s="30">
        <v>35.0</v>
      </c>
      <c r="B36" s="33" t="s">
        <v>92</v>
      </c>
      <c r="C36" s="8" t="s">
        <v>21</v>
      </c>
      <c r="D36" s="33">
        <v>148562.0</v>
      </c>
      <c r="E36" s="34">
        <v>45754.0</v>
      </c>
    </row>
    <row r="37">
      <c r="A37" s="33">
        <v>36.0</v>
      </c>
      <c r="B37" s="33" t="s">
        <v>93</v>
      </c>
      <c r="C37" s="8" t="s">
        <v>94</v>
      </c>
      <c r="D37" s="33">
        <v>139367.0</v>
      </c>
      <c r="E37" s="34">
        <v>45747.0</v>
      </c>
    </row>
    <row r="38">
      <c r="A38" s="30">
        <v>37.0</v>
      </c>
      <c r="B38" s="33" t="s">
        <v>95</v>
      </c>
      <c r="C38" s="8" t="s">
        <v>96</v>
      </c>
      <c r="D38" s="33">
        <v>90433.0</v>
      </c>
      <c r="E38" s="34">
        <v>45445.0</v>
      </c>
    </row>
    <row r="39">
      <c r="A39" s="33">
        <v>38.0</v>
      </c>
      <c r="B39" s="33" t="s">
        <v>97</v>
      </c>
      <c r="C39" s="8" t="s">
        <v>98</v>
      </c>
      <c r="D39" s="33">
        <v>153703.0</v>
      </c>
      <c r="E39" s="34">
        <v>45362.0</v>
      </c>
    </row>
    <row r="40">
      <c r="A40" s="30">
        <v>39.0</v>
      </c>
      <c r="B40" s="33" t="s">
        <v>99</v>
      </c>
      <c r="C40" s="8" t="s">
        <v>100</v>
      </c>
      <c r="D40" s="33">
        <v>150001.0</v>
      </c>
      <c r="E40" s="34">
        <v>45754.0</v>
      </c>
    </row>
    <row r="41">
      <c r="A41" s="33">
        <v>40.0</v>
      </c>
      <c r="B41" s="33" t="s">
        <v>101</v>
      </c>
      <c r="C41" s="8" t="s">
        <v>102</v>
      </c>
      <c r="D41" s="33">
        <v>151813.0</v>
      </c>
      <c r="E41" s="34">
        <v>45630.0</v>
      </c>
    </row>
    <row r="42">
      <c r="A42" s="30">
        <v>41.0</v>
      </c>
      <c r="B42" s="33" t="s">
        <v>103</v>
      </c>
      <c r="C42" s="8" t="s">
        <v>23</v>
      </c>
      <c r="D42" s="33">
        <v>74068.0</v>
      </c>
      <c r="E42" s="34">
        <v>45754.0</v>
      </c>
    </row>
    <row r="43">
      <c r="A43" s="33">
        <v>42.0</v>
      </c>
      <c r="B43" s="33" t="s">
        <v>104</v>
      </c>
      <c r="C43" s="8" t="s">
        <v>105</v>
      </c>
      <c r="D43" s="33">
        <v>148561.0</v>
      </c>
      <c r="E43" s="34">
        <v>45537.0</v>
      </c>
    </row>
    <row r="44">
      <c r="A44" s="30">
        <v>43.0</v>
      </c>
      <c r="B44" s="33" t="s">
        <v>106</v>
      </c>
      <c r="C44" s="8" t="s">
        <v>107</v>
      </c>
      <c r="D44" s="33">
        <v>73358.0</v>
      </c>
      <c r="E44" s="34">
        <v>45514.0</v>
      </c>
    </row>
    <row r="45">
      <c r="A45" s="33">
        <v>44.0</v>
      </c>
      <c r="B45" s="33" t="s">
        <v>108</v>
      </c>
      <c r="C45" s="8" t="s">
        <v>109</v>
      </c>
      <c r="D45" s="33">
        <v>74019.0</v>
      </c>
      <c r="E45" s="34">
        <v>45637.0</v>
      </c>
    </row>
    <row r="46">
      <c r="A46" s="30">
        <v>45.0</v>
      </c>
      <c r="B46" s="33" t="s">
        <v>110</v>
      </c>
      <c r="C46" s="8" t="s">
        <v>111</v>
      </c>
      <c r="D46" s="33">
        <v>155691.0</v>
      </c>
      <c r="E46" s="34">
        <v>45514.0</v>
      </c>
    </row>
    <row r="47">
      <c r="A47" s="33">
        <v>46.0</v>
      </c>
      <c r="B47" s="33" t="s">
        <v>112</v>
      </c>
      <c r="C47" s="8" t="s">
        <v>113</v>
      </c>
      <c r="D47" s="33">
        <v>143118.0</v>
      </c>
      <c r="E47" s="34">
        <v>45479.0</v>
      </c>
    </row>
    <row r="48">
      <c r="A48" s="30">
        <v>47.0</v>
      </c>
      <c r="B48" s="33" t="s">
        <v>114</v>
      </c>
      <c r="C48" s="8" t="s">
        <v>115</v>
      </c>
      <c r="D48" s="33">
        <v>97064.0</v>
      </c>
      <c r="E48" s="34">
        <v>45395.0</v>
      </c>
    </row>
    <row r="49">
      <c r="A49" s="33">
        <v>48.0</v>
      </c>
      <c r="B49" s="33" t="s">
        <v>116</v>
      </c>
      <c r="C49" s="8" t="s">
        <v>25</v>
      </c>
      <c r="D49" s="33">
        <v>156553.0</v>
      </c>
      <c r="E49" s="34">
        <v>45747.0</v>
      </c>
    </row>
    <row r="50">
      <c r="A50" s="30">
        <v>49.0</v>
      </c>
      <c r="B50" s="33" t="s">
        <v>117</v>
      </c>
      <c r="C50" s="8" t="s">
        <v>26</v>
      </c>
      <c r="D50" s="33">
        <v>154121.0</v>
      </c>
      <c r="E50" s="34">
        <v>45724.0</v>
      </c>
    </row>
    <row r="51">
      <c r="A51" s="33">
        <v>50.0</v>
      </c>
      <c r="B51" s="33" t="s">
        <v>118</v>
      </c>
      <c r="C51" s="8" t="s">
        <v>119</v>
      </c>
      <c r="D51" s="33">
        <v>141364.0</v>
      </c>
      <c r="E51" s="34">
        <v>45637.0</v>
      </c>
    </row>
    <row r="52">
      <c r="A52" s="30">
        <v>51.0</v>
      </c>
      <c r="B52" s="33" t="s">
        <v>120</v>
      </c>
      <c r="C52" s="8" t="s">
        <v>121</v>
      </c>
      <c r="D52" s="33">
        <v>110653.0</v>
      </c>
      <c r="E52" s="34">
        <v>45615.0</v>
      </c>
    </row>
    <row r="53">
      <c r="A53" s="33">
        <v>52.0</v>
      </c>
      <c r="B53" s="33" t="s">
        <v>122</v>
      </c>
      <c r="C53" s="8" t="s">
        <v>123</v>
      </c>
      <c r="D53" s="33">
        <v>157127.0</v>
      </c>
      <c r="E53" s="34">
        <v>45741.0</v>
      </c>
    </row>
    <row r="54">
      <c r="A54" s="30">
        <v>53.0</v>
      </c>
      <c r="B54" s="33" t="s">
        <v>124</v>
      </c>
      <c r="C54" s="8" t="s">
        <v>125</v>
      </c>
      <c r="D54" s="33">
        <v>149559.0</v>
      </c>
      <c r="E54" s="34">
        <v>45754.0</v>
      </c>
    </row>
    <row r="55">
      <c r="A55" s="33">
        <v>54.0</v>
      </c>
      <c r="B55" s="33" t="s">
        <v>126</v>
      </c>
      <c r="C55" s="8" t="s">
        <v>127</v>
      </c>
      <c r="D55" s="33">
        <v>94224.0</v>
      </c>
      <c r="E55" s="34">
        <v>45754.0</v>
      </c>
    </row>
    <row r="56">
      <c r="A56" s="30">
        <v>55.0</v>
      </c>
      <c r="B56" s="33" t="s">
        <v>128</v>
      </c>
      <c r="C56" s="8" t="s">
        <v>27</v>
      </c>
      <c r="D56" s="33">
        <v>135854.0</v>
      </c>
      <c r="E56" s="34">
        <v>45754.0</v>
      </c>
    </row>
    <row r="57">
      <c r="A57" s="33">
        <v>56.0</v>
      </c>
      <c r="B57" s="33" t="s">
        <v>129</v>
      </c>
      <c r="C57" s="8" t="s">
        <v>130</v>
      </c>
      <c r="D57" s="33">
        <v>157509.0</v>
      </c>
      <c r="E57" s="34">
        <v>45630.0</v>
      </c>
    </row>
    <row r="58">
      <c r="A58" s="30">
        <v>57.0</v>
      </c>
      <c r="B58" s="33" t="s">
        <v>131</v>
      </c>
      <c r="C58" s="8" t="s">
        <v>132</v>
      </c>
      <c r="D58" s="33">
        <v>159893.0</v>
      </c>
      <c r="E58" s="34">
        <v>45754.0</v>
      </c>
    </row>
    <row r="59">
      <c r="A59" s="33">
        <v>58.0</v>
      </c>
      <c r="B59" s="33" t="s">
        <v>133</v>
      </c>
      <c r="C59" s="8" t="s">
        <v>134</v>
      </c>
      <c r="D59" s="33">
        <v>74067.0</v>
      </c>
      <c r="E59" s="34">
        <v>45736.0</v>
      </c>
    </row>
    <row r="60">
      <c r="A60" s="30">
        <v>59.0</v>
      </c>
      <c r="B60" s="33" t="s">
        <v>135</v>
      </c>
      <c r="C60" s="8" t="s">
        <v>136</v>
      </c>
      <c r="D60" s="33">
        <v>156314.0</v>
      </c>
      <c r="E60" s="34">
        <v>45544.0</v>
      </c>
    </row>
    <row r="61">
      <c r="A61" s="33">
        <v>60.0</v>
      </c>
      <c r="B61" s="33" t="s">
        <v>137</v>
      </c>
      <c r="C61" s="8" t="s">
        <v>138</v>
      </c>
      <c r="D61" s="33">
        <v>151814.0</v>
      </c>
      <c r="E61" s="34">
        <v>45630.0</v>
      </c>
    </row>
    <row r="62">
      <c r="A62" s="30">
        <v>61.0</v>
      </c>
      <c r="B62" s="33" t="s">
        <v>139</v>
      </c>
      <c r="C62" s="8" t="s">
        <v>30</v>
      </c>
      <c r="D62" s="33">
        <v>149999.0</v>
      </c>
      <c r="E62" s="34">
        <v>45754.0</v>
      </c>
    </row>
    <row r="63">
      <c r="A63" s="33">
        <v>62.0</v>
      </c>
      <c r="B63" s="33" t="s">
        <v>140</v>
      </c>
      <c r="C63" s="8" t="s">
        <v>141</v>
      </c>
      <c r="D63" s="33">
        <v>141359.0</v>
      </c>
      <c r="E63" s="34">
        <v>45535.0</v>
      </c>
    </row>
    <row r="64">
      <c r="A64" s="30">
        <v>63.0</v>
      </c>
      <c r="B64" s="33" t="s">
        <v>142</v>
      </c>
      <c r="C64" s="8" t="s">
        <v>143</v>
      </c>
      <c r="D64" s="33">
        <v>156426.0</v>
      </c>
      <c r="E64" s="34">
        <v>45586.0</v>
      </c>
    </row>
    <row r="65">
      <c r="A65" s="33">
        <v>64.0</v>
      </c>
      <c r="B65" s="33" t="s">
        <v>144</v>
      </c>
      <c r="C65" s="8" t="s">
        <v>145</v>
      </c>
      <c r="D65" s="33">
        <v>148563.0</v>
      </c>
      <c r="E65" s="34">
        <v>45637.0</v>
      </c>
    </row>
    <row r="66">
      <c r="A66" s="30">
        <v>65.0</v>
      </c>
      <c r="B66" s="33" t="s">
        <v>146</v>
      </c>
      <c r="C66" s="8" t="s">
        <v>147</v>
      </c>
      <c r="D66" s="33">
        <v>148565.0</v>
      </c>
      <c r="E66" s="34">
        <v>45637.0</v>
      </c>
    </row>
    <row r="67">
      <c r="A67" s="33">
        <v>66.0</v>
      </c>
      <c r="B67" s="33" t="s">
        <v>148</v>
      </c>
      <c r="C67" s="8" t="s">
        <v>149</v>
      </c>
      <c r="D67" s="33">
        <v>144579.0</v>
      </c>
      <c r="E67" s="34">
        <v>45724.0</v>
      </c>
    </row>
    <row r="68">
      <c r="A68" s="30">
        <v>67.0</v>
      </c>
      <c r="B68" s="35" t="s">
        <v>150</v>
      </c>
      <c r="C68" s="25" t="s">
        <v>151</v>
      </c>
      <c r="D68" s="35">
        <v>148564.0</v>
      </c>
      <c r="E68" s="36">
        <v>45637.0</v>
      </c>
    </row>
    <row r="69">
      <c r="B69" s="35" t="s">
        <v>152</v>
      </c>
      <c r="C69" s="25" t="s">
        <v>24</v>
      </c>
    </row>
    <row r="70">
      <c r="B70" s="35" t="s">
        <v>153</v>
      </c>
      <c r="C70" s="25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13.0"/>
    <col customWidth="1" min="3" max="3" width="7.75"/>
    <col customWidth="1" min="4" max="4" width="13.0"/>
    <col customWidth="1" min="5" max="5" width="8.13"/>
    <col customWidth="1" min="6" max="6" width="13.0"/>
    <col customWidth="1" min="7" max="7" width="10.5"/>
    <col customWidth="1" min="8" max="8" width="11.88"/>
    <col customWidth="1" min="9" max="9" width="7.5"/>
    <col customWidth="1" min="10" max="10" width="12.88"/>
    <col customWidth="1" min="11" max="11" width="7.5"/>
    <col customWidth="1" min="12" max="12" width="12.88"/>
    <col customWidth="1" min="13" max="13" width="9.63"/>
    <col customWidth="1" min="14" max="14" width="12.88"/>
    <col customWidth="1" min="15" max="15" width="7.5"/>
    <col customWidth="1" min="16" max="16" width="11.13"/>
    <col customWidth="1" min="17" max="17" width="9.75"/>
    <col customWidth="1" min="18" max="19" width="5.75"/>
    <col customWidth="1" min="20" max="29" width="9.5"/>
  </cols>
  <sheetData>
    <row r="1">
      <c r="F1" s="37"/>
      <c r="H1" s="37"/>
      <c r="J1" s="37"/>
      <c r="L1" s="37"/>
      <c r="N1" s="37"/>
    </row>
    <row r="2">
      <c r="B2" s="38" t="s">
        <v>154</v>
      </c>
      <c r="C2" s="39"/>
      <c r="D2" s="38" t="s">
        <v>155</v>
      </c>
      <c r="E2" s="39"/>
      <c r="F2" s="40" t="s">
        <v>156</v>
      </c>
      <c r="G2" s="39"/>
      <c r="H2" s="41" t="s">
        <v>157</v>
      </c>
      <c r="I2" s="39"/>
      <c r="J2" s="40" t="s">
        <v>158</v>
      </c>
      <c r="K2" s="39"/>
      <c r="L2" s="38" t="s">
        <v>159</v>
      </c>
      <c r="M2" s="39"/>
      <c r="N2" s="40" t="s">
        <v>160</v>
      </c>
      <c r="O2" s="39"/>
      <c r="T2" s="42"/>
      <c r="U2" s="43" t="s">
        <v>161</v>
      </c>
      <c r="V2" s="43" t="s">
        <v>162</v>
      </c>
      <c r="W2" s="43" t="s">
        <v>163</v>
      </c>
      <c r="X2" s="43" t="s">
        <v>164</v>
      </c>
      <c r="Y2" s="43" t="s">
        <v>165</v>
      </c>
      <c r="Z2" s="43" t="s">
        <v>166</v>
      </c>
      <c r="AA2" s="43" t="s">
        <v>167</v>
      </c>
      <c r="AB2" s="43" t="s">
        <v>168</v>
      </c>
      <c r="AC2" s="44"/>
    </row>
    <row r="3">
      <c r="B3" s="45" t="s">
        <v>161</v>
      </c>
      <c r="C3" s="46" t="s">
        <v>168</v>
      </c>
      <c r="D3" s="45" t="s">
        <v>161</v>
      </c>
      <c r="E3" s="46" t="s">
        <v>162</v>
      </c>
      <c r="F3" s="47" t="s">
        <v>161</v>
      </c>
      <c r="G3" s="48" t="s">
        <v>163</v>
      </c>
      <c r="H3" s="47" t="s">
        <v>161</v>
      </c>
      <c r="I3" s="48" t="s">
        <v>167</v>
      </c>
      <c r="J3" s="47" t="s">
        <v>161</v>
      </c>
      <c r="K3" s="48" t="s">
        <v>164</v>
      </c>
      <c r="L3" s="45" t="s">
        <v>161</v>
      </c>
      <c r="M3" s="46" t="s">
        <v>165</v>
      </c>
      <c r="N3" s="47" t="s">
        <v>161</v>
      </c>
      <c r="O3" s="48" t="s">
        <v>166</v>
      </c>
      <c r="T3" s="48" t="s">
        <v>161</v>
      </c>
      <c r="U3" s="49"/>
      <c r="V3" s="50"/>
      <c r="W3" s="50"/>
      <c r="X3" s="50"/>
      <c r="Y3" s="50"/>
      <c r="Z3" s="50"/>
      <c r="AA3" s="50"/>
      <c r="AB3" s="50"/>
      <c r="AC3" s="44"/>
    </row>
    <row r="4">
      <c r="B4" s="51" t="s">
        <v>162</v>
      </c>
      <c r="C4" s="52" t="s">
        <v>163</v>
      </c>
      <c r="D4" s="51" t="s">
        <v>163</v>
      </c>
      <c r="E4" s="52" t="s">
        <v>164</v>
      </c>
      <c r="F4" s="53" t="s">
        <v>162</v>
      </c>
      <c r="G4" s="54" t="s">
        <v>164</v>
      </c>
      <c r="H4" s="53" t="s">
        <v>162</v>
      </c>
      <c r="I4" s="54" t="s">
        <v>168</v>
      </c>
      <c r="J4" s="53" t="s">
        <v>162</v>
      </c>
      <c r="K4" s="54" t="s">
        <v>167</v>
      </c>
      <c r="L4" s="51" t="s">
        <v>162</v>
      </c>
      <c r="M4" s="52" t="s">
        <v>166</v>
      </c>
      <c r="N4" s="53" t="s">
        <v>162</v>
      </c>
      <c r="O4" s="54" t="s">
        <v>165</v>
      </c>
      <c r="T4" s="54" t="s">
        <v>162</v>
      </c>
      <c r="U4" s="55">
        <v>2.0</v>
      </c>
      <c r="V4" s="56"/>
      <c r="W4" s="57"/>
      <c r="X4" s="57"/>
      <c r="Y4" s="57"/>
      <c r="Z4" s="57"/>
      <c r="AA4" s="57"/>
      <c r="AB4" s="57"/>
      <c r="AC4" s="44"/>
    </row>
    <row r="5">
      <c r="B5" s="58" t="s">
        <v>164</v>
      </c>
      <c r="C5" s="52" t="s">
        <v>165</v>
      </c>
      <c r="D5" s="58" t="s">
        <v>165</v>
      </c>
      <c r="E5" s="52" t="s">
        <v>166</v>
      </c>
      <c r="F5" s="59" t="s">
        <v>165</v>
      </c>
      <c r="G5" s="54" t="s">
        <v>167</v>
      </c>
      <c r="H5" s="59" t="s">
        <v>163</v>
      </c>
      <c r="I5" s="54" t="s">
        <v>165</v>
      </c>
      <c r="J5" s="59" t="s">
        <v>163</v>
      </c>
      <c r="K5" s="54" t="s">
        <v>166</v>
      </c>
      <c r="L5" s="58" t="s">
        <v>163</v>
      </c>
      <c r="M5" s="52" t="s">
        <v>167</v>
      </c>
      <c r="N5" s="59" t="s">
        <v>163</v>
      </c>
      <c r="O5" s="54" t="s">
        <v>168</v>
      </c>
      <c r="T5" s="54" t="s">
        <v>163</v>
      </c>
      <c r="U5" s="55">
        <v>3.0</v>
      </c>
      <c r="V5" s="55">
        <v>1.0</v>
      </c>
      <c r="W5" s="56"/>
      <c r="X5" s="57"/>
      <c r="Y5" s="57"/>
      <c r="Z5" s="57"/>
      <c r="AA5" s="57"/>
      <c r="AB5" s="57"/>
      <c r="AC5" s="44"/>
    </row>
    <row r="6">
      <c r="B6" s="51" t="s">
        <v>166</v>
      </c>
      <c r="C6" s="52" t="s">
        <v>167</v>
      </c>
      <c r="D6" s="51" t="s">
        <v>167</v>
      </c>
      <c r="E6" s="52" t="s">
        <v>168</v>
      </c>
      <c r="F6" s="53" t="s">
        <v>166</v>
      </c>
      <c r="G6" s="54" t="s">
        <v>168</v>
      </c>
      <c r="H6" s="53" t="s">
        <v>164</v>
      </c>
      <c r="I6" s="54" t="s">
        <v>166</v>
      </c>
      <c r="J6" s="53" t="s">
        <v>165</v>
      </c>
      <c r="K6" s="54" t="s">
        <v>168</v>
      </c>
      <c r="L6" s="51" t="s">
        <v>164</v>
      </c>
      <c r="M6" s="52" t="s">
        <v>168</v>
      </c>
      <c r="N6" s="53" t="s">
        <v>164</v>
      </c>
      <c r="O6" s="54" t="s">
        <v>167</v>
      </c>
      <c r="T6" s="54" t="s">
        <v>164</v>
      </c>
      <c r="U6" s="55">
        <v>5.0</v>
      </c>
      <c r="V6" s="55">
        <v>3.0</v>
      </c>
      <c r="W6" s="55">
        <v>2.0</v>
      </c>
      <c r="X6" s="56"/>
      <c r="Y6" s="57"/>
      <c r="Z6" s="57"/>
      <c r="AA6" s="57"/>
      <c r="AB6" s="57"/>
      <c r="AC6" s="44"/>
    </row>
    <row r="7">
      <c r="T7" s="54" t="s">
        <v>165</v>
      </c>
      <c r="U7" s="55">
        <v>6.0</v>
      </c>
      <c r="V7" s="55">
        <v>7.0</v>
      </c>
      <c r="W7" s="55">
        <v>4.0</v>
      </c>
      <c r="X7" s="55">
        <v>1.0</v>
      </c>
      <c r="Y7" s="56"/>
      <c r="Z7" s="57"/>
      <c r="AA7" s="57"/>
      <c r="AB7" s="57"/>
      <c r="AC7" s="44"/>
    </row>
    <row r="8">
      <c r="B8" s="60" t="s">
        <v>154</v>
      </c>
      <c r="C8" s="39"/>
      <c r="D8" s="61" t="s">
        <v>155</v>
      </c>
      <c r="E8" s="39"/>
      <c r="F8" s="60" t="s">
        <v>169</v>
      </c>
      <c r="G8" s="39"/>
      <c r="H8" s="61" t="s">
        <v>170</v>
      </c>
      <c r="I8" s="39"/>
      <c r="J8" s="60" t="s">
        <v>171</v>
      </c>
      <c r="K8" s="39"/>
      <c r="L8" s="61" t="s">
        <v>172</v>
      </c>
      <c r="M8" s="39"/>
      <c r="N8" s="60" t="s">
        <v>173</v>
      </c>
      <c r="O8" s="39"/>
      <c r="P8" s="61" t="s">
        <v>174</v>
      </c>
      <c r="Q8" s="39"/>
      <c r="T8" s="54" t="s">
        <v>166</v>
      </c>
      <c r="U8" s="55">
        <v>7.0</v>
      </c>
      <c r="V8" s="55">
        <v>6.0</v>
      </c>
      <c r="W8" s="55">
        <v>5.0</v>
      </c>
      <c r="X8" s="55">
        <v>4.0</v>
      </c>
      <c r="Y8" s="55">
        <v>2.0</v>
      </c>
      <c r="Z8" s="56"/>
      <c r="AA8" s="57"/>
      <c r="AB8" s="57"/>
      <c r="AC8" s="44"/>
    </row>
    <row r="9">
      <c r="B9" s="62" t="s">
        <v>161</v>
      </c>
      <c r="C9" s="63" t="s">
        <v>168</v>
      </c>
      <c r="D9" s="64" t="s">
        <v>161</v>
      </c>
      <c r="E9" s="65" t="s">
        <v>162</v>
      </c>
      <c r="F9" s="62" t="s">
        <v>161</v>
      </c>
      <c r="G9" s="63" t="s">
        <v>165</v>
      </c>
      <c r="H9" s="64" t="s">
        <v>161</v>
      </c>
      <c r="I9" s="65" t="s">
        <v>167</v>
      </c>
      <c r="J9" s="62" t="s">
        <v>161</v>
      </c>
      <c r="K9" s="63" t="s">
        <v>164</v>
      </c>
      <c r="L9" s="66" t="s">
        <v>163</v>
      </c>
      <c r="M9" s="67" t="s">
        <v>161</v>
      </c>
      <c r="N9" s="62" t="s">
        <v>161</v>
      </c>
      <c r="O9" s="63" t="s">
        <v>166</v>
      </c>
      <c r="P9" s="64"/>
      <c r="Q9" s="65"/>
      <c r="T9" s="54" t="s">
        <v>167</v>
      </c>
      <c r="U9" s="55">
        <v>4.0</v>
      </c>
      <c r="V9" s="55">
        <v>5.0</v>
      </c>
      <c r="W9" s="55">
        <v>6.0</v>
      </c>
      <c r="X9" s="55">
        <v>7.0</v>
      </c>
      <c r="Y9" s="55">
        <v>3.0</v>
      </c>
      <c r="Z9" s="55">
        <v>1.0</v>
      </c>
      <c r="AA9" s="56"/>
      <c r="AB9" s="57"/>
      <c r="AC9" s="44"/>
    </row>
    <row r="10">
      <c r="B10" s="68" t="s">
        <v>162</v>
      </c>
      <c r="C10" s="69" t="s">
        <v>163</v>
      </c>
      <c r="D10" s="70" t="s">
        <v>163</v>
      </c>
      <c r="E10" s="71" t="s">
        <v>164</v>
      </c>
      <c r="F10" s="68" t="s">
        <v>162</v>
      </c>
      <c r="G10" s="69" t="s">
        <v>166</v>
      </c>
      <c r="H10" s="70" t="s">
        <v>162</v>
      </c>
      <c r="I10" s="71" t="s">
        <v>168</v>
      </c>
      <c r="J10" s="68" t="s">
        <v>162</v>
      </c>
      <c r="K10" s="69" t="s">
        <v>167</v>
      </c>
      <c r="L10" s="72" t="s">
        <v>168</v>
      </c>
      <c r="M10" s="73" t="s">
        <v>166</v>
      </c>
      <c r="N10" s="68" t="s">
        <v>162</v>
      </c>
      <c r="O10" s="69" t="s">
        <v>165</v>
      </c>
      <c r="P10" s="70"/>
      <c r="Q10" s="71"/>
      <c r="T10" s="54" t="s">
        <v>168</v>
      </c>
      <c r="U10" s="55">
        <v>1.0</v>
      </c>
      <c r="V10" s="55">
        <v>4.0</v>
      </c>
      <c r="W10" s="55">
        <v>7.0</v>
      </c>
      <c r="X10" s="55">
        <v>6.0</v>
      </c>
      <c r="Y10" s="55">
        <v>5.0</v>
      </c>
      <c r="Z10" s="55">
        <v>3.0</v>
      </c>
      <c r="AA10" s="55">
        <v>2.0</v>
      </c>
      <c r="AB10" s="56"/>
      <c r="AC10" s="44"/>
    </row>
    <row r="11">
      <c r="B11" s="74" t="s">
        <v>164</v>
      </c>
      <c r="C11" s="69" t="s">
        <v>165</v>
      </c>
      <c r="D11" s="75" t="s">
        <v>165</v>
      </c>
      <c r="E11" s="71" t="s">
        <v>166</v>
      </c>
      <c r="F11" s="74" t="s">
        <v>163</v>
      </c>
      <c r="G11" s="69" t="s">
        <v>167</v>
      </c>
      <c r="H11" s="75" t="s">
        <v>163</v>
      </c>
      <c r="I11" s="71" t="s">
        <v>165</v>
      </c>
      <c r="J11" s="74" t="s">
        <v>163</v>
      </c>
      <c r="K11" s="69" t="s">
        <v>166</v>
      </c>
      <c r="L11" s="75" t="s">
        <v>165</v>
      </c>
      <c r="M11" s="71" t="s">
        <v>167</v>
      </c>
      <c r="N11" s="74" t="s">
        <v>163</v>
      </c>
      <c r="O11" s="69" t="s">
        <v>168</v>
      </c>
      <c r="P11" s="75"/>
      <c r="Q11" s="71"/>
    </row>
    <row r="12">
      <c r="B12" s="68" t="s">
        <v>166</v>
      </c>
      <c r="C12" s="69" t="s">
        <v>167</v>
      </c>
      <c r="D12" s="70" t="s">
        <v>167</v>
      </c>
      <c r="E12" s="71" t="s">
        <v>168</v>
      </c>
      <c r="F12" s="68" t="s">
        <v>164</v>
      </c>
      <c r="G12" s="69" t="s">
        <v>168</v>
      </c>
      <c r="H12" s="70" t="s">
        <v>164</v>
      </c>
      <c r="I12" s="71" t="s">
        <v>166</v>
      </c>
      <c r="J12" s="68" t="s">
        <v>165</v>
      </c>
      <c r="K12" s="69" t="s">
        <v>168</v>
      </c>
      <c r="L12" s="72" t="s">
        <v>164</v>
      </c>
      <c r="M12" s="73" t="s">
        <v>162</v>
      </c>
      <c r="N12" s="68" t="s">
        <v>164</v>
      </c>
      <c r="O12" s="69" t="s">
        <v>167</v>
      </c>
      <c r="P12" s="70"/>
      <c r="Q12" s="71"/>
    </row>
    <row r="14">
      <c r="P14" s="37"/>
      <c r="Q14" s="37"/>
      <c r="R14" s="37"/>
      <c r="S14" s="37"/>
    </row>
    <row r="15">
      <c r="B15" s="76" t="s">
        <v>161</v>
      </c>
      <c r="C15" s="77"/>
      <c r="D15" s="78" t="s">
        <v>162</v>
      </c>
      <c r="E15" s="77"/>
      <c r="F15" s="76" t="s">
        <v>163</v>
      </c>
      <c r="G15" s="77"/>
      <c r="H15" s="78" t="s">
        <v>164</v>
      </c>
      <c r="I15" s="77"/>
      <c r="J15" s="76" t="s">
        <v>165</v>
      </c>
      <c r="K15" s="77"/>
      <c r="L15" s="78" t="s">
        <v>166</v>
      </c>
      <c r="M15" s="77"/>
      <c r="N15" s="76" t="s">
        <v>167</v>
      </c>
      <c r="O15" s="77"/>
      <c r="P15" s="78" t="s">
        <v>168</v>
      </c>
      <c r="Q15" s="39"/>
      <c r="T15" s="23"/>
    </row>
    <row r="16">
      <c r="B16" s="79" t="s">
        <v>175</v>
      </c>
      <c r="C16" s="80" t="s">
        <v>176</v>
      </c>
      <c r="D16" s="81" t="s">
        <v>175</v>
      </c>
      <c r="E16" s="82" t="s">
        <v>177</v>
      </c>
      <c r="F16" s="79" t="s">
        <v>175</v>
      </c>
      <c r="G16" s="80" t="s">
        <v>178</v>
      </c>
      <c r="H16" s="81" t="s">
        <v>175</v>
      </c>
      <c r="I16" s="82" t="s">
        <v>179</v>
      </c>
      <c r="J16" s="79" t="s">
        <v>175</v>
      </c>
      <c r="K16" s="80" t="s">
        <v>180</v>
      </c>
      <c r="L16" s="81" t="s">
        <v>175</v>
      </c>
      <c r="M16" s="82" t="s">
        <v>181</v>
      </c>
      <c r="N16" s="79" t="s">
        <v>175</v>
      </c>
      <c r="O16" s="80" t="s">
        <v>182</v>
      </c>
      <c r="P16" s="81" t="s">
        <v>175</v>
      </c>
      <c r="Q16" s="83" t="s">
        <v>183</v>
      </c>
    </row>
    <row r="17">
      <c r="B17" s="84" t="s">
        <v>184</v>
      </c>
      <c r="C17" s="85" t="s">
        <v>185</v>
      </c>
      <c r="D17" s="86" t="s">
        <v>184</v>
      </c>
      <c r="E17" s="87" t="s">
        <v>186</v>
      </c>
      <c r="F17" s="84" t="s">
        <v>184</v>
      </c>
      <c r="G17" s="85" t="s">
        <v>187</v>
      </c>
      <c r="H17" s="86" t="s">
        <v>184</v>
      </c>
      <c r="I17" s="87" t="s">
        <v>188</v>
      </c>
      <c r="J17" s="84" t="s">
        <v>184</v>
      </c>
      <c r="K17" s="85" t="s">
        <v>189</v>
      </c>
      <c r="L17" s="86" t="s">
        <v>184</v>
      </c>
      <c r="M17" s="87" t="s">
        <v>190</v>
      </c>
      <c r="N17" s="84" t="s">
        <v>184</v>
      </c>
      <c r="O17" s="85" t="s">
        <v>191</v>
      </c>
      <c r="P17" s="86" t="s">
        <v>184</v>
      </c>
      <c r="Q17" s="88" t="s">
        <v>192</v>
      </c>
    </row>
    <row r="18">
      <c r="B18" s="89" t="s">
        <v>193</v>
      </c>
      <c r="C18" s="90" t="s">
        <v>194</v>
      </c>
      <c r="D18" s="91" t="s">
        <v>193</v>
      </c>
      <c r="E18" s="92" t="s">
        <v>195</v>
      </c>
      <c r="F18" s="89" t="s">
        <v>193</v>
      </c>
      <c r="G18" s="90" t="s">
        <v>196</v>
      </c>
      <c r="H18" s="91" t="s">
        <v>193</v>
      </c>
      <c r="I18" s="92" t="s">
        <v>197</v>
      </c>
      <c r="J18" s="89" t="s">
        <v>193</v>
      </c>
      <c r="K18" s="90" t="s">
        <v>198</v>
      </c>
      <c r="L18" s="91" t="s">
        <v>193</v>
      </c>
      <c r="M18" s="92" t="s">
        <v>199</v>
      </c>
      <c r="N18" s="89" t="s">
        <v>193</v>
      </c>
      <c r="O18" s="90" t="s">
        <v>200</v>
      </c>
      <c r="P18" s="91" t="s">
        <v>193</v>
      </c>
      <c r="Q18" s="93" t="s">
        <v>201</v>
      </c>
    </row>
  </sheetData>
  <mergeCells count="29">
    <mergeCell ref="J2:K2"/>
    <mergeCell ref="L2:M2"/>
    <mergeCell ref="F1:G1"/>
    <mergeCell ref="H1:I1"/>
    <mergeCell ref="J1:K1"/>
    <mergeCell ref="L1:M1"/>
    <mergeCell ref="N1:O1"/>
    <mergeCell ref="B2:C2"/>
    <mergeCell ref="D2:E2"/>
    <mergeCell ref="N2:O2"/>
    <mergeCell ref="L8:M8"/>
    <mergeCell ref="N8:O8"/>
    <mergeCell ref="P8:Q8"/>
    <mergeCell ref="U12:V12"/>
    <mergeCell ref="B15:C15"/>
    <mergeCell ref="D15:E15"/>
    <mergeCell ref="F15:G15"/>
    <mergeCell ref="H15:I15"/>
    <mergeCell ref="J15:K15"/>
    <mergeCell ref="L15:M15"/>
    <mergeCell ref="N15:O15"/>
    <mergeCell ref="P15:Q15"/>
    <mergeCell ref="F2:G2"/>
    <mergeCell ref="H2:I2"/>
    <mergeCell ref="B8:C8"/>
    <mergeCell ref="D8:E8"/>
    <mergeCell ref="F8:G8"/>
    <mergeCell ref="H8:I8"/>
    <mergeCell ref="J8:K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 ht="37.5" customHeight="1">
      <c r="A2" s="94"/>
      <c r="B2" s="95" t="s">
        <v>202</v>
      </c>
      <c r="H2" s="96"/>
      <c r="I2" s="97" t="s">
        <v>203</v>
      </c>
      <c r="J2" s="98">
        <v>45945.0</v>
      </c>
      <c r="M2" s="99" t="s">
        <v>204</v>
      </c>
      <c r="N2" s="100">
        <v>1.0</v>
      </c>
      <c r="O2" s="101"/>
      <c r="P2" s="99" t="s">
        <v>205</v>
      </c>
      <c r="Q2" s="100">
        <v>1.0</v>
      </c>
      <c r="R2" s="102"/>
      <c r="S2" s="103"/>
      <c r="U2" s="102"/>
      <c r="W2" s="101"/>
      <c r="X2" s="94"/>
      <c r="Y2" s="94"/>
      <c r="Z2" s="94"/>
    </row>
    <row r="3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5"/>
      <c r="Q3" s="104"/>
      <c r="R3" s="104"/>
      <c r="S3" s="104"/>
      <c r="T3" s="104"/>
      <c r="U3" s="104"/>
      <c r="V3" s="104"/>
      <c r="W3" s="104"/>
    </row>
    <row r="4" ht="37.5" customHeight="1">
      <c r="B4" s="106" t="s">
        <v>206</v>
      </c>
      <c r="D4" s="101"/>
      <c r="E4" s="101"/>
      <c r="F4" s="101"/>
      <c r="G4" s="101"/>
      <c r="H4" s="101"/>
      <c r="I4" s="107" t="s">
        <v>207</v>
      </c>
      <c r="K4" s="104"/>
      <c r="L4" s="104"/>
      <c r="M4" s="104"/>
      <c r="N4" s="104"/>
      <c r="O4" s="104"/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Teams!$B$11:$C$13, 2, FALSE)</f>
        <v>Jaydon</v>
      </c>
      <c r="D6" s="124"/>
      <c r="E6" s="124"/>
      <c r="F6" s="124"/>
      <c r="G6" s="124"/>
      <c r="H6" s="125"/>
      <c r="I6" s="122" t="s">
        <v>175</v>
      </c>
      <c r="J6" s="126" t="str">
        <f>VLOOKUP(I6, Teams!$P$11:$Q$13, 2, FALSE)</f>
        <v>Richard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32"/>
    </row>
    <row r="7" ht="60.0" customHeight="1">
      <c r="B7" s="122" t="s">
        <v>175</v>
      </c>
      <c r="C7" s="123" t="str">
        <f>VLOOKUP(B7, Teams!$B$11:$C$13, 2, FALSE)</f>
        <v>Darcy</v>
      </c>
      <c r="D7" s="124"/>
      <c r="E7" s="124"/>
      <c r="F7" s="124"/>
      <c r="G7" s="131"/>
      <c r="H7" s="125"/>
      <c r="I7" s="122" t="s">
        <v>184</v>
      </c>
      <c r="J7" s="126" t="str">
        <f>VLOOKUP(I7, Teams!$P$11:$Q$13, 2, FALSE)</f>
        <v>Bo C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32"/>
    </row>
    <row r="8" ht="60.0" customHeight="1">
      <c r="B8" s="122" t="s">
        <v>184</v>
      </c>
      <c r="C8" s="123" t="str">
        <f>VLOOKUP(B8, Teams!$B$11:$C$13, 2, FALSE)</f>
        <v>Andrew</v>
      </c>
      <c r="D8" s="124"/>
      <c r="E8" s="124"/>
      <c r="F8" s="124"/>
      <c r="G8" s="131"/>
      <c r="H8" s="125"/>
      <c r="I8" s="122" t="s">
        <v>193</v>
      </c>
      <c r="J8" s="126" t="str">
        <f>VLOOKUP(I8, Teams!$P$11:$Q$13, 2, FALSE)</f>
        <v>Peter H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32"/>
    </row>
    <row r="9" ht="60.0" customHeight="1">
      <c r="B9" s="122" t="s">
        <v>193</v>
      </c>
      <c r="C9" s="123" t="str">
        <f>VLOOKUP(B9, Teams!$B$11:$C$13, 2, FALSE)</f>
        <v>Jaydon</v>
      </c>
      <c r="D9" s="124"/>
      <c r="E9" s="124"/>
      <c r="F9" s="124"/>
      <c r="G9" s="131"/>
      <c r="H9" s="125"/>
      <c r="I9" s="122" t="s">
        <v>184</v>
      </c>
      <c r="J9" s="126" t="str">
        <f>VLOOKUP(I9, Teams!$P$11:$Q$13, 2, FALSE)</f>
        <v>Bo C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32"/>
    </row>
    <row r="10" ht="60.0" customHeight="1">
      <c r="B10" s="134" t="s">
        <v>184</v>
      </c>
      <c r="C10" s="123" t="str">
        <f>VLOOKUP(B10, Teams!$B$11:$C$13, 2, FALSE)</f>
        <v>Andrew</v>
      </c>
      <c r="D10" s="124"/>
      <c r="E10" s="124"/>
      <c r="F10" s="124"/>
      <c r="G10" s="131"/>
      <c r="H10" s="125"/>
      <c r="I10" s="122" t="s">
        <v>175</v>
      </c>
      <c r="J10" s="126" t="str">
        <f>VLOOKUP(I10, Teams!$P$11:$Q$13, 2, FALSE)</f>
        <v>Richard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32"/>
    </row>
    <row r="11" ht="60.0" customHeight="1">
      <c r="B11" s="134" t="s">
        <v>175</v>
      </c>
      <c r="C11" s="123" t="str">
        <f>VLOOKUP(B11, Teams!$B$11:$C$13, 2, FALSE)</f>
        <v>Darcy</v>
      </c>
      <c r="D11" s="124"/>
      <c r="E11" s="124"/>
      <c r="F11" s="124"/>
      <c r="G11" s="131"/>
      <c r="H11" s="125"/>
      <c r="I11" s="122" t="s">
        <v>193</v>
      </c>
      <c r="J11" s="126" t="str">
        <f>VLOOKUP(I11, Teams!$P$11:$Q$13, 2, FALSE)</f>
        <v>Peter H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32"/>
    </row>
    <row r="12" ht="60.0" customHeight="1">
      <c r="B12" s="134" t="s">
        <v>184</v>
      </c>
      <c r="C12" s="123" t="str">
        <f>VLOOKUP(B12, Teams!$B$11:$C$13, 2, FALSE)</f>
        <v>Andrew</v>
      </c>
      <c r="D12" s="124"/>
      <c r="E12" s="124"/>
      <c r="F12" s="124"/>
      <c r="G12" s="131"/>
      <c r="H12" s="125"/>
      <c r="I12" s="134" t="s">
        <v>184</v>
      </c>
      <c r="J12" s="126" t="str">
        <f>VLOOKUP(I12, Teams!$P$11:$Q$13, 2, FALSE)</f>
        <v>Bo C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32"/>
    </row>
    <row r="13" ht="60.0" customHeight="1">
      <c r="B13" s="122" t="s">
        <v>193</v>
      </c>
      <c r="C13" s="123" t="str">
        <f>VLOOKUP(B13, Teams!$B$11:$C$13, 2, FALSE)</f>
        <v>Jaydon</v>
      </c>
      <c r="D13" s="124"/>
      <c r="E13" s="124"/>
      <c r="F13" s="124"/>
      <c r="G13" s="131"/>
      <c r="H13" s="125"/>
      <c r="I13" s="122" t="s">
        <v>193</v>
      </c>
      <c r="J13" s="126" t="str">
        <f>VLOOKUP(I13, Teams!$P$11:$Q$13, 2, FALSE)</f>
        <v>Peter H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32"/>
    </row>
    <row r="14" ht="60.0" customHeight="1">
      <c r="B14" s="135" t="s">
        <v>175</v>
      </c>
      <c r="C14" s="136" t="str">
        <f>VLOOKUP(B14, Teams!$B$11:$C$13, 2, FALSE)</f>
        <v>Darcy</v>
      </c>
      <c r="D14" s="137"/>
      <c r="E14" s="137"/>
      <c r="F14" s="137"/>
      <c r="G14" s="137"/>
      <c r="H14" s="138"/>
      <c r="I14" s="135" t="s">
        <v>175</v>
      </c>
      <c r="J14" s="136" t="str">
        <f>VLOOKUP(I14, Teams!$P$11:$Q$13, 2, FALSE)</f>
        <v>Richard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43"/>
    </row>
    <row r="15" ht="37.5" customHeight="1">
      <c r="B15" s="144" t="s">
        <v>221</v>
      </c>
      <c r="C15" s="145"/>
      <c r="D15" s="146"/>
      <c r="E15" s="146"/>
      <c r="F15" s="146"/>
      <c r="G15" s="146"/>
      <c r="H15" s="146"/>
      <c r="I15" s="144" t="s">
        <v>221</v>
      </c>
      <c r="J15" s="145"/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51"/>
      <c r="W15" s="152"/>
    </row>
    <row r="16" ht="37.5" customHeight="1">
      <c r="B16" s="153"/>
      <c r="C16" s="154"/>
      <c r="D16" s="155"/>
      <c r="E16" s="155"/>
      <c r="F16" s="155"/>
      <c r="G16" s="155"/>
      <c r="H16" s="155"/>
      <c r="I16" s="153"/>
      <c r="J16" s="154"/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5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0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3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 ht="37.5" customHeight="1">
      <c r="A20" s="94"/>
      <c r="B20" s="95" t="s">
        <v>202</v>
      </c>
      <c r="H20" s="96"/>
      <c r="I20" s="97" t="s">
        <v>203</v>
      </c>
      <c r="J20" s="98">
        <v>45945.0</v>
      </c>
      <c r="M20" s="99" t="s">
        <v>204</v>
      </c>
      <c r="N20" s="100">
        <v>1.0</v>
      </c>
      <c r="O20" s="101"/>
      <c r="P20" s="99" t="s">
        <v>205</v>
      </c>
      <c r="Q20" s="100">
        <v>2.0</v>
      </c>
      <c r="R20" s="102"/>
      <c r="S20" s="103"/>
      <c r="U20" s="102"/>
      <c r="W20" s="101"/>
      <c r="X20" s="94"/>
      <c r="Y20" s="94"/>
      <c r="Z20" s="94"/>
    </row>
    <row r="21">
      <c r="B21" s="104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5"/>
      <c r="Q21" s="104"/>
      <c r="R21" s="104"/>
      <c r="S21" s="104"/>
      <c r="T21" s="104"/>
      <c r="U21" s="104"/>
      <c r="V21" s="104"/>
      <c r="W21" s="104"/>
    </row>
    <row r="22" ht="37.5" customHeight="1">
      <c r="B22" s="106" t="s">
        <v>224</v>
      </c>
      <c r="D22" s="101"/>
      <c r="E22" s="101"/>
      <c r="F22" s="101"/>
      <c r="G22" s="101"/>
      <c r="H22" s="101"/>
      <c r="I22" s="107" t="s">
        <v>225</v>
      </c>
      <c r="K22" s="104"/>
      <c r="L22" s="104"/>
      <c r="M22" s="104"/>
      <c r="N22" s="104"/>
      <c r="O22" s="104"/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Teams!$D$11:$E$13, 2, FALSE)</f>
        <v>Peter A</v>
      </c>
      <c r="D24" s="124"/>
      <c r="E24" s="124"/>
      <c r="F24" s="124"/>
      <c r="G24" s="124"/>
      <c r="H24" s="125"/>
      <c r="I24" s="122" t="s">
        <v>175</v>
      </c>
      <c r="J24" s="126" t="str">
        <f>VLOOKUP(I24, Teams!$F$11:$G$13, 2, FALSE)</f>
        <v>Dheep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32"/>
    </row>
    <row r="25" ht="60.0" customHeight="1">
      <c r="B25" s="122" t="s">
        <v>175</v>
      </c>
      <c r="C25" s="123" t="str">
        <f>VLOOKUP(B25, Teams!$D$11:$E$13, 2, FALSE)</f>
        <v>Peter W</v>
      </c>
      <c r="D25" s="124"/>
      <c r="E25" s="124"/>
      <c r="F25" s="124"/>
      <c r="G25" s="131"/>
      <c r="H25" s="125"/>
      <c r="I25" s="122" t="s">
        <v>184</v>
      </c>
      <c r="J25" s="126" t="str">
        <f>VLOOKUP(I25, Teams!$F$11:$G$13, 2, FALSE)</f>
        <v>Reece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32"/>
    </row>
    <row r="26" ht="60.0" customHeight="1">
      <c r="B26" s="122" t="s">
        <v>184</v>
      </c>
      <c r="C26" s="123" t="str">
        <f>VLOOKUP(B26, Teams!$D$11:$E$13, 2, FALSE)</f>
        <v>Rohit</v>
      </c>
      <c r="D26" s="124"/>
      <c r="E26" s="124"/>
      <c r="F26" s="124"/>
      <c r="G26" s="131"/>
      <c r="H26" s="125"/>
      <c r="I26" s="122" t="s">
        <v>193</v>
      </c>
      <c r="J26" s="126" t="str">
        <f>VLOOKUP(I26, Teams!$F$11:$G$13, 2, FALSE)</f>
        <v>Tilly (R)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32"/>
    </row>
    <row r="27" ht="60.0" customHeight="1">
      <c r="B27" s="122" t="s">
        <v>193</v>
      </c>
      <c r="C27" s="123" t="str">
        <f>VLOOKUP(B27, Teams!$D$11:$E$13, 2, FALSE)</f>
        <v>Peter A</v>
      </c>
      <c r="D27" s="124"/>
      <c r="E27" s="124"/>
      <c r="F27" s="124"/>
      <c r="G27" s="131"/>
      <c r="H27" s="125"/>
      <c r="I27" s="122" t="s">
        <v>184</v>
      </c>
      <c r="J27" s="126" t="str">
        <f>VLOOKUP(I27, Teams!$F$11:$G$13, 2, FALSE)</f>
        <v>Reece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32"/>
    </row>
    <row r="28" ht="60.0" customHeight="1">
      <c r="B28" s="134" t="s">
        <v>184</v>
      </c>
      <c r="C28" s="123" t="str">
        <f>VLOOKUP(B28, Teams!$D$11:$E$13, 2, FALSE)</f>
        <v>Rohit</v>
      </c>
      <c r="D28" s="124"/>
      <c r="E28" s="124"/>
      <c r="F28" s="124"/>
      <c r="G28" s="131"/>
      <c r="H28" s="125"/>
      <c r="I28" s="122" t="s">
        <v>175</v>
      </c>
      <c r="J28" s="126" t="str">
        <f>VLOOKUP(I28, Teams!$F$11:$G$13, 2, FALSE)</f>
        <v>Dheep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32"/>
    </row>
    <row r="29" ht="60.0" customHeight="1">
      <c r="B29" s="134" t="s">
        <v>175</v>
      </c>
      <c r="C29" s="123" t="str">
        <f>VLOOKUP(B29, Teams!$D$11:$E$13, 2, FALSE)</f>
        <v>Peter W</v>
      </c>
      <c r="D29" s="124"/>
      <c r="E29" s="124"/>
      <c r="F29" s="124"/>
      <c r="G29" s="131"/>
      <c r="H29" s="125"/>
      <c r="I29" s="122" t="s">
        <v>193</v>
      </c>
      <c r="J29" s="126" t="str">
        <f>VLOOKUP(I29, Teams!$F$11:$G$13, 2, FALSE)</f>
        <v>Tilly (R)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32"/>
    </row>
    <row r="30" ht="60.0" customHeight="1">
      <c r="B30" s="134" t="s">
        <v>184</v>
      </c>
      <c r="C30" s="123" t="str">
        <f>VLOOKUP(B30, Teams!$D$11:$E$13, 2, FALSE)</f>
        <v>Rohit</v>
      </c>
      <c r="D30" s="124"/>
      <c r="E30" s="124"/>
      <c r="F30" s="124"/>
      <c r="G30" s="131"/>
      <c r="H30" s="125"/>
      <c r="I30" s="134" t="s">
        <v>184</v>
      </c>
      <c r="J30" s="126" t="str">
        <f>VLOOKUP(I30, Teams!$F$11:$G$13, 2, FALSE)</f>
        <v>Reece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32"/>
    </row>
    <row r="31" ht="60.0" customHeight="1">
      <c r="B31" s="122" t="s">
        <v>193</v>
      </c>
      <c r="C31" s="123" t="str">
        <f>VLOOKUP(B31, Teams!$D$11:$E$13, 2, FALSE)</f>
        <v>Peter A</v>
      </c>
      <c r="D31" s="124"/>
      <c r="E31" s="124"/>
      <c r="F31" s="124"/>
      <c r="G31" s="131"/>
      <c r="H31" s="125"/>
      <c r="I31" s="122" t="s">
        <v>193</v>
      </c>
      <c r="J31" s="126" t="str">
        <f>VLOOKUP(I31, Teams!$F$11:$G$13, 2, FALSE)</f>
        <v>Tilly (R)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32"/>
    </row>
    <row r="32" ht="60.0" customHeight="1">
      <c r="B32" s="135" t="s">
        <v>175</v>
      </c>
      <c r="C32" s="136" t="str">
        <f>VLOOKUP(B32, Teams!$D$11:$E$13, 2, FALSE)</f>
        <v>Peter W</v>
      </c>
      <c r="D32" s="137"/>
      <c r="E32" s="137"/>
      <c r="F32" s="137"/>
      <c r="G32" s="137"/>
      <c r="H32" s="138"/>
      <c r="I32" s="135" t="s">
        <v>175</v>
      </c>
      <c r="J32" s="136" t="str">
        <f>VLOOKUP(I32, Teams!$F$11:$G$13, 2, FALSE)</f>
        <v>Dheep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43"/>
    </row>
    <row r="33" ht="37.5" customHeight="1">
      <c r="B33" s="144" t="s">
        <v>221</v>
      </c>
      <c r="C33" s="145"/>
      <c r="D33" s="146"/>
      <c r="E33" s="146"/>
      <c r="F33" s="146"/>
      <c r="G33" s="146"/>
      <c r="H33" s="146"/>
      <c r="I33" s="144" t="s">
        <v>221</v>
      </c>
      <c r="J33" s="145"/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51"/>
      <c r="W33" s="152"/>
    </row>
    <row r="34" ht="37.5" customHeight="1">
      <c r="B34" s="153"/>
      <c r="C34" s="154"/>
      <c r="D34" s="155"/>
      <c r="E34" s="155"/>
      <c r="F34" s="155"/>
      <c r="G34" s="155"/>
      <c r="H34" s="155"/>
      <c r="I34" s="153"/>
      <c r="J34" s="154"/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5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A38" s="94"/>
      <c r="B38" s="95" t="s">
        <v>202</v>
      </c>
      <c r="H38" s="96"/>
      <c r="I38" s="97" t="s">
        <v>203</v>
      </c>
      <c r="J38" s="98">
        <v>45945.0</v>
      </c>
      <c r="M38" s="99" t="s">
        <v>204</v>
      </c>
      <c r="N38" s="100">
        <v>1.0</v>
      </c>
      <c r="O38" s="101"/>
      <c r="P38" s="99" t="s">
        <v>205</v>
      </c>
      <c r="Q38" s="166">
        <v>3.0</v>
      </c>
      <c r="R38" s="102"/>
      <c r="S38" s="103"/>
      <c r="U38" s="102"/>
      <c r="W38" s="101"/>
      <c r="X38" s="94"/>
      <c r="Y38" s="94"/>
      <c r="Z38" s="94"/>
    </row>
    <row r="39"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5"/>
      <c r="Q39" s="104"/>
      <c r="R39" s="104"/>
      <c r="S39" s="104"/>
      <c r="T39" s="104"/>
      <c r="U39" s="104"/>
      <c r="V39" s="104"/>
      <c r="W39" s="104"/>
    </row>
    <row r="40" ht="37.5" customHeight="1">
      <c r="B40" s="106" t="s">
        <v>226</v>
      </c>
      <c r="D40" s="101"/>
      <c r="E40" s="101"/>
      <c r="F40" s="101"/>
      <c r="G40" s="101"/>
      <c r="H40" s="101"/>
      <c r="I40" s="107" t="s">
        <v>227</v>
      </c>
      <c r="K40" s="104"/>
      <c r="L40" s="104"/>
      <c r="M40" s="104"/>
      <c r="N40" s="104"/>
      <c r="O40" s="104"/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15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22" t="s">
        <v>193</v>
      </c>
      <c r="C42" s="123" t="str">
        <f>VLOOKUP(B42, Teams!$L$11:$M$13, 2, FALSE)</f>
        <v>Michael C</v>
      </c>
      <c r="D42" s="124"/>
      <c r="E42" s="124"/>
      <c r="F42" s="124"/>
      <c r="G42" s="124"/>
      <c r="H42" s="125"/>
      <c r="I42" s="122" t="s">
        <v>175</v>
      </c>
      <c r="J42" s="126" t="str">
        <f>VLOOKUP(I42, Teams!$N$11:$O$13, 2, FALSE)</f>
        <v>Bow (R)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32"/>
    </row>
    <row r="43" ht="60.0" customHeight="1">
      <c r="B43" s="122" t="s">
        <v>175</v>
      </c>
      <c r="C43" s="123" t="str">
        <f>VLOOKUP(B43, Teams!$L$11:$M$13, 2, FALSE)</f>
        <v>Mick R</v>
      </c>
      <c r="D43" s="124"/>
      <c r="E43" s="124"/>
      <c r="F43" s="124"/>
      <c r="G43" s="131"/>
      <c r="H43" s="125"/>
      <c r="I43" s="122" t="s">
        <v>184</v>
      </c>
      <c r="J43" s="126" t="str">
        <f>VLOOKUP(I43, Teams!$N$11:$O$13, 2, FALSE)</f>
        <v>Nathan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32"/>
    </row>
    <row r="44" ht="60.0" customHeight="1">
      <c r="B44" s="122" t="s">
        <v>184</v>
      </c>
      <c r="C44" s="123" t="str">
        <f>VLOOKUP(B44, Teams!$L$11:$M$13, 2, FALSE)</f>
        <v>Paula</v>
      </c>
      <c r="D44" s="124"/>
      <c r="E44" s="124"/>
      <c r="F44" s="124"/>
      <c r="G44" s="131"/>
      <c r="H44" s="125"/>
      <c r="I44" s="122" t="s">
        <v>193</v>
      </c>
      <c r="J44" s="126" t="str">
        <f>VLOOKUP(I44, Teams!$N$11:$O$13, 2, FALSE)</f>
        <v>Kyle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32"/>
    </row>
    <row r="45" ht="60.0" customHeight="1">
      <c r="B45" s="122" t="s">
        <v>193</v>
      </c>
      <c r="C45" s="123" t="str">
        <f>VLOOKUP(B45, Teams!$L$11:$M$13, 2, FALSE)</f>
        <v>Michael C</v>
      </c>
      <c r="D45" s="124"/>
      <c r="E45" s="124"/>
      <c r="F45" s="124"/>
      <c r="G45" s="131"/>
      <c r="H45" s="125"/>
      <c r="I45" s="122" t="s">
        <v>184</v>
      </c>
      <c r="J45" s="126" t="str">
        <f>VLOOKUP(I45, Teams!$N$11:$O$13, 2, FALSE)</f>
        <v>Nathan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32"/>
    </row>
    <row r="46" ht="60.0" customHeight="1">
      <c r="B46" s="134" t="s">
        <v>184</v>
      </c>
      <c r="C46" s="123" t="str">
        <f>VLOOKUP(B46, Teams!$L$11:$M$13, 2, FALSE)</f>
        <v>Paula</v>
      </c>
      <c r="D46" s="124"/>
      <c r="E46" s="124"/>
      <c r="F46" s="124"/>
      <c r="G46" s="131"/>
      <c r="H46" s="125"/>
      <c r="I46" s="122" t="s">
        <v>175</v>
      </c>
      <c r="J46" s="126" t="str">
        <f>VLOOKUP(I46, Teams!$N$11:$O$13, 2, FALSE)</f>
        <v>Bow (R)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32"/>
    </row>
    <row r="47" ht="60.0" customHeight="1">
      <c r="B47" s="134" t="s">
        <v>175</v>
      </c>
      <c r="C47" s="123" t="str">
        <f>VLOOKUP(B47, Teams!$L$11:$M$13, 2, FALSE)</f>
        <v>Mick R</v>
      </c>
      <c r="D47" s="124"/>
      <c r="E47" s="124"/>
      <c r="F47" s="124"/>
      <c r="G47" s="131"/>
      <c r="H47" s="125"/>
      <c r="I47" s="122" t="s">
        <v>193</v>
      </c>
      <c r="J47" s="126" t="str">
        <f>VLOOKUP(I47, Teams!$N$11:$O$13, 2, FALSE)</f>
        <v>Kyle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32"/>
    </row>
    <row r="48" ht="60.0" customHeight="1">
      <c r="B48" s="134" t="s">
        <v>184</v>
      </c>
      <c r="C48" s="123" t="str">
        <f>VLOOKUP(B48, Teams!$L$11:$M$13, 2, FALSE)</f>
        <v>Paula</v>
      </c>
      <c r="D48" s="124"/>
      <c r="E48" s="124"/>
      <c r="F48" s="124"/>
      <c r="G48" s="131"/>
      <c r="H48" s="125"/>
      <c r="I48" s="134" t="s">
        <v>184</v>
      </c>
      <c r="J48" s="126" t="str">
        <f>VLOOKUP(I48, Teams!$N$11:$O$13, 2, FALSE)</f>
        <v>Nathan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32"/>
    </row>
    <row r="49" ht="60.0" customHeight="1">
      <c r="B49" s="122" t="s">
        <v>193</v>
      </c>
      <c r="C49" s="123" t="str">
        <f>VLOOKUP(B49, Teams!$L$11:$M$13, 2, FALSE)</f>
        <v>Michael C</v>
      </c>
      <c r="D49" s="124"/>
      <c r="E49" s="124"/>
      <c r="F49" s="124"/>
      <c r="G49" s="131"/>
      <c r="H49" s="125"/>
      <c r="I49" s="122" t="s">
        <v>193</v>
      </c>
      <c r="J49" s="126" t="str">
        <f>VLOOKUP(I49, Teams!$N$11:$O$13, 2, FALSE)</f>
        <v>Kyle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32"/>
    </row>
    <row r="50" ht="60.0" customHeight="1">
      <c r="B50" s="135" t="s">
        <v>175</v>
      </c>
      <c r="C50" s="136" t="str">
        <f>VLOOKUP(B50, Teams!$L$11:$M$13, 2, FALSE)</f>
        <v>Mick R</v>
      </c>
      <c r="D50" s="137"/>
      <c r="E50" s="137"/>
      <c r="F50" s="137"/>
      <c r="G50" s="137"/>
      <c r="H50" s="138"/>
      <c r="I50" s="135" t="s">
        <v>175</v>
      </c>
      <c r="J50" s="136" t="str">
        <f>VLOOKUP(I50, Teams!$N$11:$O$13, 2, FALSE)</f>
        <v>Bow (R)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43"/>
    </row>
    <row r="51" ht="37.5" customHeight="1">
      <c r="B51" s="144" t="s">
        <v>221</v>
      </c>
      <c r="C51" s="145"/>
      <c r="D51" s="146"/>
      <c r="E51" s="146"/>
      <c r="F51" s="146"/>
      <c r="G51" s="146"/>
      <c r="H51" s="146"/>
      <c r="I51" s="144" t="s">
        <v>221</v>
      </c>
      <c r="J51" s="145"/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51"/>
      <c r="W51" s="152"/>
    </row>
    <row r="52" ht="37.5" customHeight="1">
      <c r="B52" s="153"/>
      <c r="C52" s="154"/>
      <c r="D52" s="155"/>
      <c r="E52" s="155"/>
      <c r="F52" s="155"/>
      <c r="G52" s="155"/>
      <c r="H52" s="155"/>
      <c r="I52" s="153"/>
      <c r="J52" s="154"/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5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7.5" customHeight="1"/>
    <row r="56" ht="37.5" customHeight="1">
      <c r="A56" s="94"/>
      <c r="B56" s="95" t="s">
        <v>202</v>
      </c>
      <c r="H56" s="96"/>
      <c r="I56" s="97" t="s">
        <v>203</v>
      </c>
      <c r="J56" s="98">
        <v>45945.0</v>
      </c>
      <c r="M56" s="99" t="s">
        <v>204</v>
      </c>
      <c r="N56" s="100">
        <v>1.0</v>
      </c>
      <c r="O56" s="101"/>
      <c r="P56" s="99" t="s">
        <v>205</v>
      </c>
      <c r="Q56" s="166">
        <v>4.0</v>
      </c>
      <c r="R56" s="102"/>
      <c r="S56" s="103"/>
      <c r="U56" s="102"/>
      <c r="W56" s="101"/>
      <c r="X56" s="94"/>
      <c r="Y56" s="94"/>
      <c r="Z56" s="94"/>
    </row>
    <row r="57"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5"/>
      <c r="Q57" s="104"/>
      <c r="R57" s="104"/>
      <c r="S57" s="104"/>
      <c r="T57" s="104"/>
      <c r="U57" s="104"/>
      <c r="V57" s="104"/>
      <c r="W57" s="104"/>
    </row>
    <row r="58" ht="37.5" customHeight="1">
      <c r="B58" s="106" t="s">
        <v>228</v>
      </c>
      <c r="D58" s="101"/>
      <c r="E58" s="101"/>
      <c r="F58" s="101"/>
      <c r="G58" s="101"/>
      <c r="H58" s="101"/>
      <c r="I58" s="107" t="s">
        <v>229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Teams!$H$11:$I$13, 2, FALSE)</f>
        <v>Simon</v>
      </c>
      <c r="D60" s="124"/>
      <c r="E60" s="124"/>
      <c r="F60" s="124"/>
      <c r="G60" s="124"/>
      <c r="H60" s="125"/>
      <c r="I60" s="122" t="s">
        <v>175</v>
      </c>
      <c r="J60" s="126" t="str">
        <f>VLOOKUP(I60, Teams!$J$11:$K$13, 2, FALSE)</f>
        <v>Aarya (R)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32"/>
    </row>
    <row r="61" ht="60.0" customHeight="1">
      <c r="B61" s="122" t="s">
        <v>175</v>
      </c>
      <c r="C61" s="123" t="str">
        <f>VLOOKUP(B61, Teams!$H$11:$I$13, 2, FALSE)</f>
        <v>Harish</v>
      </c>
      <c r="D61" s="124"/>
      <c r="E61" s="124"/>
      <c r="F61" s="124"/>
      <c r="G61" s="131"/>
      <c r="H61" s="125"/>
      <c r="I61" s="122" t="s">
        <v>184</v>
      </c>
      <c r="J61" s="126" t="str">
        <f>VLOOKUP(I61, Teams!$J$11:$K$13, 2, FALSE)</f>
        <v>John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32"/>
    </row>
    <row r="62" ht="60.0" customHeight="1">
      <c r="B62" s="122" t="s">
        <v>184</v>
      </c>
      <c r="C62" s="123" t="str">
        <f>VLOOKUP(B62, Teams!$H$11:$I$13, 2, FALSE)</f>
        <v>Farhan</v>
      </c>
      <c r="D62" s="124"/>
      <c r="E62" s="124"/>
      <c r="F62" s="124"/>
      <c r="G62" s="131"/>
      <c r="H62" s="125"/>
      <c r="I62" s="122" t="s">
        <v>193</v>
      </c>
      <c r="J62" s="126" t="str">
        <f>VLOOKUP(I62, Teams!$J$11:$K$13, 2, FALSE)</f>
        <v>Angela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32"/>
    </row>
    <row r="63" ht="60.0" customHeight="1">
      <c r="B63" s="122" t="s">
        <v>193</v>
      </c>
      <c r="C63" s="123" t="str">
        <f>VLOOKUP(B63, Teams!$H$11:$I$13, 2, FALSE)</f>
        <v>Simon</v>
      </c>
      <c r="D63" s="124"/>
      <c r="E63" s="124"/>
      <c r="F63" s="124"/>
      <c r="G63" s="131"/>
      <c r="H63" s="125"/>
      <c r="I63" s="122" t="s">
        <v>184</v>
      </c>
      <c r="J63" s="126" t="str">
        <f>VLOOKUP(I63, Teams!$J$11:$K$13, 2, FALSE)</f>
        <v>John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32"/>
    </row>
    <row r="64" ht="60.0" customHeight="1">
      <c r="B64" s="134" t="s">
        <v>184</v>
      </c>
      <c r="C64" s="123" t="str">
        <f>VLOOKUP(B64, Teams!$H$11:$I$13, 2, FALSE)</f>
        <v>Farhan</v>
      </c>
      <c r="D64" s="124"/>
      <c r="E64" s="124"/>
      <c r="F64" s="124"/>
      <c r="G64" s="131"/>
      <c r="H64" s="125"/>
      <c r="I64" s="122" t="s">
        <v>175</v>
      </c>
      <c r="J64" s="126" t="str">
        <f>VLOOKUP(I64, Teams!$J$11:$K$13, 2, FALSE)</f>
        <v>Aarya (R)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32"/>
    </row>
    <row r="65" ht="60.0" customHeight="1">
      <c r="B65" s="134" t="s">
        <v>175</v>
      </c>
      <c r="C65" s="123" t="str">
        <f>VLOOKUP(B65, Teams!$H$11:$I$13, 2, FALSE)</f>
        <v>Harish</v>
      </c>
      <c r="D65" s="124"/>
      <c r="E65" s="124"/>
      <c r="F65" s="124"/>
      <c r="G65" s="131"/>
      <c r="H65" s="125"/>
      <c r="I65" s="122" t="s">
        <v>193</v>
      </c>
      <c r="J65" s="126" t="str">
        <f>VLOOKUP(I65, Teams!$J$11:$K$13, 2, FALSE)</f>
        <v>Angela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32"/>
    </row>
    <row r="66" ht="60.0" customHeight="1">
      <c r="B66" s="134" t="s">
        <v>184</v>
      </c>
      <c r="C66" s="123" t="str">
        <f>VLOOKUP(B66, Teams!$H$11:$I$13, 2, FALSE)</f>
        <v>Farhan</v>
      </c>
      <c r="D66" s="124"/>
      <c r="E66" s="124"/>
      <c r="F66" s="124"/>
      <c r="G66" s="131"/>
      <c r="H66" s="125"/>
      <c r="I66" s="134" t="s">
        <v>184</v>
      </c>
      <c r="J66" s="126" t="str">
        <f>VLOOKUP(I66, Teams!$J$11:$K$13, 2, FALSE)</f>
        <v>John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32"/>
    </row>
    <row r="67" ht="60.0" customHeight="1">
      <c r="B67" s="122" t="s">
        <v>193</v>
      </c>
      <c r="C67" s="123" t="str">
        <f>VLOOKUP(B67, Teams!$H$11:$I$13, 2, FALSE)</f>
        <v>Simon</v>
      </c>
      <c r="D67" s="124"/>
      <c r="E67" s="124"/>
      <c r="F67" s="124"/>
      <c r="G67" s="131"/>
      <c r="H67" s="125"/>
      <c r="I67" s="122" t="s">
        <v>193</v>
      </c>
      <c r="J67" s="126" t="str">
        <f>VLOOKUP(I67, Teams!$J$11:$K$13, 2, FALSE)</f>
        <v>Angela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32"/>
    </row>
    <row r="68" ht="60.0" customHeight="1">
      <c r="B68" s="135" t="s">
        <v>175</v>
      </c>
      <c r="C68" s="136" t="str">
        <f>VLOOKUP(B68, Teams!$H$11:$I$13, 2, FALSE)</f>
        <v>Harish</v>
      </c>
      <c r="D68" s="137"/>
      <c r="E68" s="137"/>
      <c r="F68" s="137"/>
      <c r="G68" s="137"/>
      <c r="H68" s="138"/>
      <c r="I68" s="135" t="s">
        <v>175</v>
      </c>
      <c r="J68" s="136" t="str">
        <f>VLOOKUP(I68, Teams!$J$11:$K$13, 2, FALSE)</f>
        <v>Aarya (R)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43"/>
    </row>
    <row r="69" ht="37.5" customHeight="1">
      <c r="B69" s="144" t="s">
        <v>221</v>
      </c>
      <c r="C69" s="145"/>
      <c r="D69" s="146"/>
      <c r="E69" s="146"/>
      <c r="F69" s="146"/>
      <c r="G69" s="146"/>
      <c r="H69" s="146"/>
      <c r="I69" s="144" t="s">
        <v>221</v>
      </c>
      <c r="J69" s="145"/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51"/>
      <c r="W69" s="152"/>
    </row>
    <row r="70" ht="37.5" customHeight="1">
      <c r="B70" s="153"/>
      <c r="C70" s="154"/>
      <c r="D70" s="155"/>
      <c r="E70" s="155"/>
      <c r="F70" s="155"/>
      <c r="G70" s="155"/>
      <c r="H70" s="155"/>
      <c r="I70" s="153"/>
      <c r="J70" s="154"/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5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</sheetData>
  <mergeCells count="120">
    <mergeCell ref="S4:T4"/>
    <mergeCell ref="U4:V4"/>
    <mergeCell ref="B2:H2"/>
    <mergeCell ref="J2:L2"/>
    <mergeCell ref="S2:T2"/>
    <mergeCell ref="U2:V2"/>
    <mergeCell ref="B4:C4"/>
    <mergeCell ref="I4:J4"/>
    <mergeCell ref="Q4:R4"/>
    <mergeCell ref="R15:R16"/>
    <mergeCell ref="S15:S16"/>
    <mergeCell ref="T15:T16"/>
    <mergeCell ref="U15:U16"/>
    <mergeCell ref="V15:V16"/>
    <mergeCell ref="W15:W16"/>
    <mergeCell ref="Q18:T18"/>
    <mergeCell ref="K15:K16"/>
    <mergeCell ref="L15:L16"/>
    <mergeCell ref="M15:M16"/>
    <mergeCell ref="N15:N16"/>
    <mergeCell ref="O15:O16"/>
    <mergeCell ref="P15:P16"/>
    <mergeCell ref="Q15:Q16"/>
    <mergeCell ref="S22:T22"/>
    <mergeCell ref="U22:V22"/>
    <mergeCell ref="B20:H20"/>
    <mergeCell ref="J20:L20"/>
    <mergeCell ref="S20:T20"/>
    <mergeCell ref="U20:V20"/>
    <mergeCell ref="B22:C22"/>
    <mergeCell ref="I22:J22"/>
    <mergeCell ref="Q22:R22"/>
    <mergeCell ref="B15:B16"/>
    <mergeCell ref="D15:D16"/>
    <mergeCell ref="E15:E16"/>
    <mergeCell ref="F15:F16"/>
    <mergeCell ref="G15:G16"/>
    <mergeCell ref="H15:H16"/>
    <mergeCell ref="I15:I16"/>
    <mergeCell ref="K51:K52"/>
    <mergeCell ref="L51:L52"/>
    <mergeCell ref="M51:M52"/>
    <mergeCell ref="N51:N52"/>
    <mergeCell ref="O51:O52"/>
    <mergeCell ref="P51:P52"/>
    <mergeCell ref="Q51:Q52"/>
    <mergeCell ref="B51:B52"/>
    <mergeCell ref="D51:D52"/>
    <mergeCell ref="E51:E52"/>
    <mergeCell ref="F51:F52"/>
    <mergeCell ref="G51:G52"/>
    <mergeCell ref="H51:H52"/>
    <mergeCell ref="I51:I52"/>
    <mergeCell ref="S58:T58"/>
    <mergeCell ref="U58:V58"/>
    <mergeCell ref="B56:H56"/>
    <mergeCell ref="J56:L56"/>
    <mergeCell ref="S56:T56"/>
    <mergeCell ref="U56:V56"/>
    <mergeCell ref="B58:C58"/>
    <mergeCell ref="I58:J58"/>
    <mergeCell ref="Q58:R58"/>
    <mergeCell ref="R69:R70"/>
    <mergeCell ref="S69:S70"/>
    <mergeCell ref="Q72:T72"/>
    <mergeCell ref="K69:K70"/>
    <mergeCell ref="L69:L70"/>
    <mergeCell ref="M69:M70"/>
    <mergeCell ref="N69:N70"/>
    <mergeCell ref="O69:O70"/>
    <mergeCell ref="P69:P70"/>
    <mergeCell ref="Q69:Q70"/>
    <mergeCell ref="R33:R34"/>
    <mergeCell ref="S33:S34"/>
    <mergeCell ref="T33:T34"/>
    <mergeCell ref="U33:U34"/>
    <mergeCell ref="V33:V34"/>
    <mergeCell ref="W33:W34"/>
    <mergeCell ref="Q36:T36"/>
    <mergeCell ref="K33:K34"/>
    <mergeCell ref="L33:L34"/>
    <mergeCell ref="M33:M34"/>
    <mergeCell ref="N33:N34"/>
    <mergeCell ref="O33:O34"/>
    <mergeCell ref="P33:P34"/>
    <mergeCell ref="Q33:Q34"/>
    <mergeCell ref="S40:T40"/>
    <mergeCell ref="U40:V40"/>
    <mergeCell ref="B38:H38"/>
    <mergeCell ref="J38:L38"/>
    <mergeCell ref="S38:T38"/>
    <mergeCell ref="U38:V38"/>
    <mergeCell ref="B40:C40"/>
    <mergeCell ref="I40:J40"/>
    <mergeCell ref="Q40:R40"/>
    <mergeCell ref="B33:B34"/>
    <mergeCell ref="D33:D34"/>
    <mergeCell ref="E33:E34"/>
    <mergeCell ref="F33:F34"/>
    <mergeCell ref="G33:G34"/>
    <mergeCell ref="H33:H34"/>
    <mergeCell ref="I33:I34"/>
    <mergeCell ref="R51:R52"/>
    <mergeCell ref="S51:S52"/>
    <mergeCell ref="T51:T52"/>
    <mergeCell ref="U51:U52"/>
    <mergeCell ref="V51:V52"/>
    <mergeCell ref="W51:W52"/>
    <mergeCell ref="Q54:T54"/>
    <mergeCell ref="T69:T70"/>
    <mergeCell ref="U69:U70"/>
    <mergeCell ref="V69:V70"/>
    <mergeCell ref="W69:W70"/>
    <mergeCell ref="B69:B70"/>
    <mergeCell ref="D69:D70"/>
    <mergeCell ref="E69:E70"/>
    <mergeCell ref="F69:F70"/>
    <mergeCell ref="G69:G70"/>
    <mergeCell ref="H69:H70"/>
    <mergeCell ref="I69:I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>
      <c r="B2" s="167" t="s">
        <v>202</v>
      </c>
      <c r="H2" s="96"/>
      <c r="I2" s="168" t="s">
        <v>203</v>
      </c>
      <c r="J2" s="169">
        <v>45952.0</v>
      </c>
      <c r="M2" s="170" t="s">
        <v>204</v>
      </c>
      <c r="N2" s="171">
        <v>2.0</v>
      </c>
      <c r="O2" s="104"/>
      <c r="P2" s="170" t="s">
        <v>205</v>
      </c>
      <c r="Q2" s="172">
        <v>1.0</v>
      </c>
      <c r="R2" s="173"/>
      <c r="S2" s="174"/>
      <c r="U2" s="173"/>
      <c r="W2" s="104"/>
    </row>
    <row r="3">
      <c r="B3" s="104"/>
    </row>
    <row r="4" ht="37.5" customHeight="1">
      <c r="B4" s="106" t="s">
        <v>206</v>
      </c>
      <c r="I4" s="107" t="s">
        <v>230</v>
      </c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Teams!$B$11:$C$13, 2, FALSE)</f>
        <v>Jaydon</v>
      </c>
      <c r="D6" s="175"/>
      <c r="E6" s="175"/>
      <c r="F6" s="175"/>
      <c r="G6" s="175"/>
      <c r="H6" s="176"/>
      <c r="I6" s="177" t="s">
        <v>175</v>
      </c>
      <c r="J6" s="126" t="str">
        <f>VLOOKUP(I6, Teams!$D$11:$E$13, 2, FALSE)</f>
        <v>Peter W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32"/>
    </row>
    <row r="7" ht="60.0" customHeight="1">
      <c r="B7" s="122" t="s">
        <v>175</v>
      </c>
      <c r="C7" s="123" t="str">
        <f>VLOOKUP(B7, Teams!$B$11:$C$13, 2, FALSE)</f>
        <v>Darcy</v>
      </c>
      <c r="D7" s="175"/>
      <c r="E7" s="175"/>
      <c r="F7" s="175"/>
      <c r="G7" s="178"/>
      <c r="H7" s="176"/>
      <c r="I7" s="177" t="s">
        <v>184</v>
      </c>
      <c r="J7" s="126" t="str">
        <f>VLOOKUP(I7, Teams!$D$11:$E$13, 2, FALSE)</f>
        <v>Rohit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32"/>
    </row>
    <row r="8" ht="60.0" customHeight="1">
      <c r="B8" s="122" t="s">
        <v>184</v>
      </c>
      <c r="C8" s="123" t="str">
        <f>VLOOKUP(B8, Teams!$B$11:$C$13, 2, FALSE)</f>
        <v>Andrew</v>
      </c>
      <c r="D8" s="175"/>
      <c r="E8" s="175"/>
      <c r="F8" s="175"/>
      <c r="G8" s="178"/>
      <c r="H8" s="176"/>
      <c r="I8" s="177" t="s">
        <v>193</v>
      </c>
      <c r="J8" s="126" t="str">
        <f>VLOOKUP(I8, Teams!$D$11:$E$13, 2, FALSE)</f>
        <v>Peter A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32"/>
    </row>
    <row r="9" ht="60.0" customHeight="1">
      <c r="B9" s="122" t="s">
        <v>193</v>
      </c>
      <c r="C9" s="123" t="str">
        <f>VLOOKUP(B9, Teams!$B$11:$C$13, 2, FALSE)</f>
        <v>Jaydon</v>
      </c>
      <c r="D9" s="175"/>
      <c r="E9" s="175"/>
      <c r="F9" s="175"/>
      <c r="G9" s="178"/>
      <c r="H9" s="176"/>
      <c r="I9" s="177" t="s">
        <v>184</v>
      </c>
      <c r="J9" s="126" t="str">
        <f>VLOOKUP(I9, Teams!$D$11:$E$13, 2, FALSE)</f>
        <v>Rohit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32"/>
    </row>
    <row r="10" ht="60.0" customHeight="1">
      <c r="B10" s="134" t="s">
        <v>184</v>
      </c>
      <c r="C10" s="123" t="str">
        <f>VLOOKUP(B10, Teams!$B$11:$C$13, 2, FALSE)</f>
        <v>Andrew</v>
      </c>
      <c r="D10" s="175"/>
      <c r="E10" s="175"/>
      <c r="F10" s="175"/>
      <c r="G10" s="178"/>
      <c r="H10" s="176"/>
      <c r="I10" s="177" t="s">
        <v>175</v>
      </c>
      <c r="J10" s="126" t="str">
        <f>VLOOKUP(I10, Teams!$D$11:$E$13, 2, FALSE)</f>
        <v>Peter W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32"/>
    </row>
    <row r="11" ht="60.0" customHeight="1">
      <c r="B11" s="134" t="s">
        <v>175</v>
      </c>
      <c r="C11" s="123" t="str">
        <f>VLOOKUP(B11, Teams!$B$11:$C$13, 2, FALSE)</f>
        <v>Darcy</v>
      </c>
      <c r="D11" s="175"/>
      <c r="E11" s="175"/>
      <c r="F11" s="175"/>
      <c r="G11" s="178"/>
      <c r="H11" s="176"/>
      <c r="I11" s="177" t="s">
        <v>193</v>
      </c>
      <c r="J11" s="126" t="str">
        <f>VLOOKUP(I11, Teams!$D$11:$E$13, 2, FALSE)</f>
        <v>Peter A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32"/>
    </row>
    <row r="12" ht="60.0" customHeight="1">
      <c r="B12" s="134" t="s">
        <v>184</v>
      </c>
      <c r="C12" s="123" t="str">
        <f>VLOOKUP(B12, Teams!$B$11:$C$13, 2, FALSE)</f>
        <v>Andrew</v>
      </c>
      <c r="D12" s="175"/>
      <c r="E12" s="175"/>
      <c r="F12" s="175"/>
      <c r="G12" s="178"/>
      <c r="H12" s="176"/>
      <c r="I12" s="179" t="s">
        <v>184</v>
      </c>
      <c r="J12" s="126" t="str">
        <f>VLOOKUP(I12, Teams!$D$11:$E$13, 2, FALSE)</f>
        <v>Rohit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32"/>
    </row>
    <row r="13" ht="60.0" customHeight="1">
      <c r="B13" s="122" t="s">
        <v>193</v>
      </c>
      <c r="C13" s="123" t="str">
        <f>VLOOKUP(B13, Teams!$B$11:$C$13, 2, FALSE)</f>
        <v>Jaydon</v>
      </c>
      <c r="D13" s="175"/>
      <c r="E13" s="175"/>
      <c r="F13" s="175"/>
      <c r="G13" s="178"/>
      <c r="H13" s="176"/>
      <c r="I13" s="177" t="s">
        <v>193</v>
      </c>
      <c r="J13" s="126" t="str">
        <f>VLOOKUP(I13, Teams!$D$11:$E$13, 2, FALSE)</f>
        <v>Peter A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32"/>
    </row>
    <row r="14" ht="60.0" customHeight="1">
      <c r="B14" s="135" t="s">
        <v>175</v>
      </c>
      <c r="C14" s="136" t="str">
        <f>VLOOKUP(B14, Teams!$B$11:$C$13, 2, FALSE)</f>
        <v>Darcy</v>
      </c>
      <c r="D14" s="180"/>
      <c r="E14" s="180"/>
      <c r="F14" s="180"/>
      <c r="G14" s="180"/>
      <c r="H14" s="181"/>
      <c r="I14" s="182" t="s">
        <v>175</v>
      </c>
      <c r="J14" s="136" t="str">
        <f>VLOOKUP(I14, Teams!$D$11:$E$13, 2, FALSE)</f>
        <v>Peter W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43"/>
    </row>
    <row r="15" ht="37.5" customHeight="1">
      <c r="B15" s="144" t="s">
        <v>221</v>
      </c>
      <c r="C15" s="145"/>
      <c r="D15" s="146"/>
      <c r="E15" s="146"/>
      <c r="F15" s="146"/>
      <c r="G15" s="146"/>
      <c r="H15" s="146"/>
      <c r="I15" s="144" t="s">
        <v>221</v>
      </c>
      <c r="J15" s="145"/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51"/>
      <c r="W15" s="152"/>
    </row>
    <row r="16" ht="37.5" customHeight="1">
      <c r="B16" s="153"/>
      <c r="C16" s="154"/>
      <c r="D16" s="155"/>
      <c r="E16" s="155"/>
      <c r="F16" s="155"/>
      <c r="G16" s="155"/>
      <c r="H16" s="155"/>
      <c r="I16" s="153"/>
      <c r="J16" s="154"/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5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5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>
      <c r="B20" s="167" t="s">
        <v>202</v>
      </c>
      <c r="H20" s="96"/>
      <c r="I20" s="168" t="s">
        <v>203</v>
      </c>
      <c r="J20" s="169">
        <v>45945.0</v>
      </c>
      <c r="M20" s="170" t="s">
        <v>204</v>
      </c>
      <c r="N20" s="172">
        <f>N2</f>
        <v>2</v>
      </c>
      <c r="O20" s="104"/>
      <c r="P20" s="170" t="s">
        <v>205</v>
      </c>
      <c r="Q20" s="171">
        <v>2.0</v>
      </c>
      <c r="R20" s="173"/>
      <c r="S20" s="174"/>
      <c r="U20" s="173"/>
      <c r="W20" s="104"/>
    </row>
    <row r="21">
      <c r="B21" s="104"/>
    </row>
    <row r="22" ht="37.5" customHeight="1">
      <c r="B22" s="107" t="s">
        <v>231</v>
      </c>
      <c r="I22" s="107" t="s">
        <v>232</v>
      </c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Teams!$F$11:$G$13, 2, FALSE)</f>
        <v>Tilly (R)</v>
      </c>
      <c r="D24" s="175"/>
      <c r="E24" s="175"/>
      <c r="F24" s="175"/>
      <c r="G24" s="175"/>
      <c r="H24" s="176"/>
      <c r="I24" s="177" t="s">
        <v>175</v>
      </c>
      <c r="J24" s="126" t="str">
        <f>VLOOKUP(I24, Teams!$H$11:$I$13, 2, FALSE)</f>
        <v>Harish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32"/>
    </row>
    <row r="25" ht="60.0" customHeight="1">
      <c r="B25" s="122" t="s">
        <v>175</v>
      </c>
      <c r="C25" s="123" t="str">
        <f>VLOOKUP(B25, Teams!$F$11:$G$13, 2, FALSE)</f>
        <v>Dheep</v>
      </c>
      <c r="D25" s="175"/>
      <c r="E25" s="175"/>
      <c r="F25" s="175"/>
      <c r="G25" s="178"/>
      <c r="H25" s="176"/>
      <c r="I25" s="177" t="s">
        <v>184</v>
      </c>
      <c r="J25" s="126" t="str">
        <f>VLOOKUP(I25, Teams!$H$11:$I$13, 2, FALSE)</f>
        <v>Farhan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32"/>
    </row>
    <row r="26" ht="60.0" customHeight="1">
      <c r="B26" s="122" t="s">
        <v>184</v>
      </c>
      <c r="C26" s="123" t="str">
        <f>VLOOKUP(B26, Teams!$F$11:$G$13, 2, FALSE)</f>
        <v>Reece</v>
      </c>
      <c r="D26" s="175"/>
      <c r="E26" s="175"/>
      <c r="F26" s="175"/>
      <c r="G26" s="178"/>
      <c r="H26" s="176"/>
      <c r="I26" s="177" t="s">
        <v>193</v>
      </c>
      <c r="J26" s="126" t="str">
        <f>VLOOKUP(I26, Teams!$H$11:$I$13, 2, FALSE)</f>
        <v>Simon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32"/>
    </row>
    <row r="27" ht="60.0" customHeight="1">
      <c r="B27" s="122" t="s">
        <v>193</v>
      </c>
      <c r="C27" s="123" t="str">
        <f>VLOOKUP(B27, Teams!$F$11:$G$13, 2, FALSE)</f>
        <v>Tilly (R)</v>
      </c>
      <c r="D27" s="175"/>
      <c r="E27" s="175"/>
      <c r="F27" s="175"/>
      <c r="G27" s="178"/>
      <c r="H27" s="176"/>
      <c r="I27" s="177" t="s">
        <v>184</v>
      </c>
      <c r="J27" s="126" t="str">
        <f>VLOOKUP(I27, Teams!$H$11:$I$13, 2, FALSE)</f>
        <v>Farhan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32"/>
    </row>
    <row r="28" ht="60.0" customHeight="1">
      <c r="B28" s="134" t="s">
        <v>184</v>
      </c>
      <c r="C28" s="123" t="str">
        <f>VLOOKUP(B28, Teams!$F$11:$G$13, 2, FALSE)</f>
        <v>Reece</v>
      </c>
      <c r="D28" s="175"/>
      <c r="E28" s="175"/>
      <c r="F28" s="175"/>
      <c r="G28" s="178"/>
      <c r="H28" s="176"/>
      <c r="I28" s="177" t="s">
        <v>175</v>
      </c>
      <c r="J28" s="126" t="str">
        <f>VLOOKUP(I28, Teams!$H$11:$I$13, 2, FALSE)</f>
        <v>Harish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32"/>
    </row>
    <row r="29" ht="60.0" customHeight="1">
      <c r="B29" s="134" t="s">
        <v>175</v>
      </c>
      <c r="C29" s="123" t="str">
        <f>VLOOKUP(B29, Teams!$F$11:$G$13, 2, FALSE)</f>
        <v>Dheep</v>
      </c>
      <c r="D29" s="175"/>
      <c r="E29" s="175"/>
      <c r="F29" s="175"/>
      <c r="G29" s="178"/>
      <c r="H29" s="176"/>
      <c r="I29" s="177" t="s">
        <v>193</v>
      </c>
      <c r="J29" s="126" t="str">
        <f>VLOOKUP(I29, Teams!$H$11:$I$13, 2, FALSE)</f>
        <v>Simon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32"/>
    </row>
    <row r="30" ht="60.0" customHeight="1">
      <c r="B30" s="134" t="s">
        <v>184</v>
      </c>
      <c r="C30" s="123" t="str">
        <f>VLOOKUP(B30, Teams!$F$11:$G$13, 2, FALSE)</f>
        <v>Reece</v>
      </c>
      <c r="D30" s="175"/>
      <c r="E30" s="175"/>
      <c r="F30" s="175"/>
      <c r="G30" s="178"/>
      <c r="H30" s="176"/>
      <c r="I30" s="179" t="s">
        <v>184</v>
      </c>
      <c r="J30" s="126" t="str">
        <f>VLOOKUP(I30, Teams!$H$11:$I$13, 2, FALSE)</f>
        <v>Farhan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32"/>
    </row>
    <row r="31" ht="60.0" customHeight="1">
      <c r="B31" s="122" t="s">
        <v>193</v>
      </c>
      <c r="C31" s="123" t="str">
        <f>VLOOKUP(B31, Teams!$F$11:$G$13, 2, FALSE)</f>
        <v>Tilly (R)</v>
      </c>
      <c r="D31" s="175"/>
      <c r="E31" s="175"/>
      <c r="F31" s="175"/>
      <c r="G31" s="178"/>
      <c r="H31" s="176"/>
      <c r="I31" s="177" t="s">
        <v>193</v>
      </c>
      <c r="J31" s="126" t="str">
        <f>VLOOKUP(I31, Teams!$H$11:$I$13, 2, FALSE)</f>
        <v>Simon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32"/>
    </row>
    <row r="32" ht="60.0" customHeight="1">
      <c r="B32" s="135" t="s">
        <v>175</v>
      </c>
      <c r="C32" s="136" t="str">
        <f>VLOOKUP(B32, Teams!$F$11:$G$13, 2, FALSE)</f>
        <v>Dheep</v>
      </c>
      <c r="D32" s="180"/>
      <c r="E32" s="180"/>
      <c r="F32" s="180"/>
      <c r="G32" s="180"/>
      <c r="H32" s="181"/>
      <c r="I32" s="182" t="s">
        <v>175</v>
      </c>
      <c r="J32" s="136" t="str">
        <f>VLOOKUP(I32, Teams!$H$11:$I$13, 2, FALSE)</f>
        <v>Harish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43"/>
    </row>
    <row r="33" ht="37.5" customHeight="1">
      <c r="B33" s="144" t="s">
        <v>221</v>
      </c>
      <c r="C33" s="145"/>
      <c r="D33" s="146"/>
      <c r="E33" s="146"/>
      <c r="F33" s="146"/>
      <c r="G33" s="146"/>
      <c r="H33" s="146"/>
      <c r="I33" s="144" t="s">
        <v>221</v>
      </c>
      <c r="J33" s="145"/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51"/>
      <c r="W33" s="152"/>
    </row>
    <row r="34" ht="37.5" customHeight="1">
      <c r="B34" s="153"/>
      <c r="C34" s="154"/>
      <c r="D34" s="155"/>
      <c r="E34" s="155"/>
      <c r="F34" s="155"/>
      <c r="G34" s="155"/>
      <c r="H34" s="155"/>
      <c r="I34" s="153"/>
      <c r="J34" s="154"/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5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B38" s="167" t="s">
        <v>202</v>
      </c>
      <c r="H38" s="96"/>
      <c r="I38" s="168" t="s">
        <v>203</v>
      </c>
      <c r="J38" s="169">
        <v>45945.0</v>
      </c>
      <c r="M38" s="170" t="s">
        <v>204</v>
      </c>
      <c r="N38" s="172">
        <f>N2</f>
        <v>2</v>
      </c>
      <c r="O38" s="104"/>
      <c r="P38" s="170" t="s">
        <v>205</v>
      </c>
      <c r="Q38" s="171">
        <v>3.0</v>
      </c>
      <c r="R38" s="173"/>
      <c r="S38" s="174"/>
      <c r="U38" s="173"/>
      <c r="W38" s="104"/>
    </row>
    <row r="39">
      <c r="B39" s="104"/>
    </row>
    <row r="40" ht="37.5" customHeight="1">
      <c r="B40" s="107" t="s">
        <v>233</v>
      </c>
      <c r="I40" s="107" t="s">
        <v>234</v>
      </c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83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22" t="s">
        <v>193</v>
      </c>
      <c r="C42" s="123" t="str">
        <f>VLOOKUP(B42, Teams!$J$11:$K$13, 2, FALSE)</f>
        <v>Angela</v>
      </c>
      <c r="D42" s="175"/>
      <c r="E42" s="175"/>
      <c r="F42" s="175"/>
      <c r="G42" s="175"/>
      <c r="H42" s="176"/>
      <c r="I42" s="177" t="s">
        <v>175</v>
      </c>
      <c r="J42" s="126" t="str">
        <f>VLOOKUP(I42, Teams!$L$11:$M$13, 2, FALSE)</f>
        <v>Mick R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32"/>
    </row>
    <row r="43" ht="60.0" customHeight="1">
      <c r="B43" s="122" t="s">
        <v>175</v>
      </c>
      <c r="C43" s="123" t="str">
        <f>VLOOKUP(B43, Teams!$J$11:$K$13, 2, FALSE)</f>
        <v>Aarya (R)</v>
      </c>
      <c r="D43" s="175"/>
      <c r="E43" s="175"/>
      <c r="F43" s="175"/>
      <c r="G43" s="178"/>
      <c r="H43" s="176"/>
      <c r="I43" s="177" t="s">
        <v>184</v>
      </c>
      <c r="J43" s="126" t="str">
        <f>VLOOKUP(I43, Teams!$L$11:$M$13, 2, FALSE)</f>
        <v>Paula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32"/>
    </row>
    <row r="44" ht="60.0" customHeight="1">
      <c r="B44" s="122" t="s">
        <v>184</v>
      </c>
      <c r="C44" s="123" t="str">
        <f>VLOOKUP(B44, Teams!$J$11:$K$13, 2, FALSE)</f>
        <v>John</v>
      </c>
      <c r="D44" s="175"/>
      <c r="E44" s="175"/>
      <c r="F44" s="175"/>
      <c r="G44" s="178"/>
      <c r="H44" s="176"/>
      <c r="I44" s="177" t="s">
        <v>193</v>
      </c>
      <c r="J44" s="126" t="str">
        <f>VLOOKUP(I44, Teams!$L$11:$M$13, 2, FALSE)</f>
        <v>Michael C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32"/>
    </row>
    <row r="45" ht="60.0" customHeight="1">
      <c r="B45" s="122" t="s">
        <v>193</v>
      </c>
      <c r="C45" s="123" t="str">
        <f>VLOOKUP(B45, Teams!$J$11:$K$13, 2, FALSE)</f>
        <v>Angela</v>
      </c>
      <c r="D45" s="175"/>
      <c r="E45" s="175"/>
      <c r="F45" s="175"/>
      <c r="G45" s="178"/>
      <c r="H45" s="176"/>
      <c r="I45" s="177" t="s">
        <v>184</v>
      </c>
      <c r="J45" s="126" t="str">
        <f>VLOOKUP(I45, Teams!$L$11:$M$13, 2, FALSE)</f>
        <v>Paula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32"/>
    </row>
    <row r="46" ht="60.0" customHeight="1">
      <c r="B46" s="134" t="s">
        <v>184</v>
      </c>
      <c r="C46" s="123" t="str">
        <f>VLOOKUP(B46, Teams!$J$11:$K$13, 2, FALSE)</f>
        <v>John</v>
      </c>
      <c r="D46" s="175"/>
      <c r="E46" s="175"/>
      <c r="F46" s="175"/>
      <c r="G46" s="178"/>
      <c r="H46" s="176"/>
      <c r="I46" s="177" t="s">
        <v>175</v>
      </c>
      <c r="J46" s="126" t="str">
        <f>VLOOKUP(I46, Teams!$L$11:$M$13, 2, FALSE)</f>
        <v>Mick R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32"/>
    </row>
    <row r="47" ht="60.0" customHeight="1">
      <c r="B47" s="134" t="s">
        <v>175</v>
      </c>
      <c r="C47" s="123" t="str">
        <f>VLOOKUP(B47, Teams!$J$11:$K$13, 2, FALSE)</f>
        <v>Aarya (R)</v>
      </c>
      <c r="D47" s="175"/>
      <c r="E47" s="175"/>
      <c r="F47" s="175"/>
      <c r="G47" s="178"/>
      <c r="H47" s="176"/>
      <c r="I47" s="177" t="s">
        <v>193</v>
      </c>
      <c r="J47" s="126" t="str">
        <f>VLOOKUP(I47, Teams!$L$11:$M$13, 2, FALSE)</f>
        <v>Michael C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32"/>
    </row>
    <row r="48" ht="60.0" customHeight="1">
      <c r="B48" s="134" t="s">
        <v>184</v>
      </c>
      <c r="C48" s="123" t="str">
        <f>VLOOKUP(B48, Teams!$J$11:$K$13, 2, FALSE)</f>
        <v>John</v>
      </c>
      <c r="D48" s="175"/>
      <c r="E48" s="175"/>
      <c r="F48" s="175"/>
      <c r="G48" s="178"/>
      <c r="H48" s="176"/>
      <c r="I48" s="179" t="s">
        <v>184</v>
      </c>
      <c r="J48" s="126" t="str">
        <f>VLOOKUP(I48, Teams!$L$11:$M$13, 2, FALSE)</f>
        <v>Paula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32"/>
    </row>
    <row r="49" ht="60.0" customHeight="1">
      <c r="B49" s="122" t="s">
        <v>193</v>
      </c>
      <c r="C49" s="123" t="str">
        <f>VLOOKUP(B49, Teams!$J$11:$K$13, 2, FALSE)</f>
        <v>Angela</v>
      </c>
      <c r="D49" s="175"/>
      <c r="E49" s="175"/>
      <c r="F49" s="175"/>
      <c r="G49" s="178"/>
      <c r="H49" s="176"/>
      <c r="I49" s="177" t="s">
        <v>193</v>
      </c>
      <c r="J49" s="126" t="str">
        <f>VLOOKUP(I49, Teams!$L$11:$M$13, 2, FALSE)</f>
        <v>Michael C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32"/>
    </row>
    <row r="50" ht="60.0" customHeight="1">
      <c r="B50" s="135" t="s">
        <v>175</v>
      </c>
      <c r="C50" s="136" t="str">
        <f>VLOOKUP(B50, Teams!$J$11:$K$13, 2, FALSE)</f>
        <v>Aarya (R)</v>
      </c>
      <c r="D50" s="180"/>
      <c r="E50" s="180"/>
      <c r="F50" s="180"/>
      <c r="G50" s="180"/>
      <c r="H50" s="181"/>
      <c r="I50" s="182" t="s">
        <v>175</v>
      </c>
      <c r="J50" s="136" t="str">
        <f>VLOOKUP(I50, Teams!$L$11:$M$13, 2, FALSE)</f>
        <v>Mick R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43"/>
    </row>
    <row r="51" ht="37.5" customHeight="1">
      <c r="B51" s="144" t="s">
        <v>221</v>
      </c>
      <c r="C51" s="145"/>
      <c r="D51" s="146"/>
      <c r="E51" s="146"/>
      <c r="F51" s="146"/>
      <c r="G51" s="146"/>
      <c r="H51" s="146"/>
      <c r="I51" s="144" t="s">
        <v>221</v>
      </c>
      <c r="J51" s="145"/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51"/>
      <c r="W51" s="152"/>
    </row>
    <row r="52" ht="37.5" customHeight="1">
      <c r="B52" s="153"/>
      <c r="C52" s="154"/>
      <c r="D52" s="155"/>
      <c r="E52" s="155"/>
      <c r="F52" s="155"/>
      <c r="G52" s="155"/>
      <c r="H52" s="155"/>
      <c r="I52" s="153"/>
      <c r="J52" s="154"/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5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3.0" customHeight="1"/>
    <row r="56">
      <c r="B56" s="167" t="s">
        <v>202</v>
      </c>
      <c r="H56" s="96"/>
      <c r="I56" s="168" t="s">
        <v>203</v>
      </c>
      <c r="J56" s="169">
        <v>45945.0</v>
      </c>
      <c r="M56" s="170" t="s">
        <v>204</v>
      </c>
      <c r="N56" s="172">
        <f>N2</f>
        <v>2</v>
      </c>
      <c r="O56" s="104"/>
      <c r="P56" s="170" t="s">
        <v>205</v>
      </c>
      <c r="Q56" s="171">
        <v>4.0</v>
      </c>
      <c r="R56" s="173"/>
      <c r="S56" s="174"/>
      <c r="U56" s="173"/>
      <c r="W56" s="104"/>
    </row>
    <row r="57">
      <c r="B57" s="104"/>
    </row>
    <row r="58" ht="37.5" customHeight="1">
      <c r="B58" s="107" t="s">
        <v>235</v>
      </c>
      <c r="D58" s="101"/>
      <c r="E58" s="101"/>
      <c r="F58" s="101"/>
      <c r="G58" s="101"/>
      <c r="H58" s="101"/>
      <c r="I58" s="107" t="s">
        <v>207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Teams!$N$11:$O$13, 2, FALSE)</f>
        <v>Kyle</v>
      </c>
      <c r="D60" s="124"/>
      <c r="E60" s="124"/>
      <c r="F60" s="124"/>
      <c r="G60" s="124"/>
      <c r="H60" s="125"/>
      <c r="I60" s="122" t="s">
        <v>175</v>
      </c>
      <c r="J60" s="126" t="str">
        <f>VLOOKUP(I60, Teams!$P$11:$Q$13, 2, FALSE)</f>
        <v>Richard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32"/>
    </row>
    <row r="61" ht="60.0" customHeight="1">
      <c r="B61" s="122" t="s">
        <v>175</v>
      </c>
      <c r="C61" s="123" t="str">
        <f>VLOOKUP(B61, Teams!$N$11:$O$13, 2, FALSE)</f>
        <v>Bow (R)</v>
      </c>
      <c r="D61" s="124"/>
      <c r="E61" s="124"/>
      <c r="F61" s="124"/>
      <c r="G61" s="131"/>
      <c r="H61" s="125"/>
      <c r="I61" s="122" t="s">
        <v>184</v>
      </c>
      <c r="J61" s="126" t="str">
        <f>VLOOKUP(I61, Teams!$P$11:$Q$13, 2, FALSE)</f>
        <v>Bo C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32"/>
    </row>
    <row r="62" ht="60.0" customHeight="1">
      <c r="B62" s="122" t="s">
        <v>184</v>
      </c>
      <c r="C62" s="123" t="str">
        <f>VLOOKUP(B62, Teams!$N$11:$O$13, 2, FALSE)</f>
        <v>Nathan</v>
      </c>
      <c r="D62" s="124"/>
      <c r="E62" s="124"/>
      <c r="F62" s="124"/>
      <c r="G62" s="131"/>
      <c r="H62" s="125"/>
      <c r="I62" s="122" t="s">
        <v>193</v>
      </c>
      <c r="J62" s="126" t="str">
        <f>VLOOKUP(I62, Teams!$P$11:$Q$13, 2, FALSE)</f>
        <v>Peter H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32"/>
    </row>
    <row r="63" ht="60.0" customHeight="1">
      <c r="B63" s="122" t="s">
        <v>193</v>
      </c>
      <c r="C63" s="123" t="str">
        <f>VLOOKUP(B63, Teams!$N$11:$O$13, 2, FALSE)</f>
        <v>Kyle</v>
      </c>
      <c r="D63" s="124"/>
      <c r="E63" s="124"/>
      <c r="F63" s="124"/>
      <c r="G63" s="131"/>
      <c r="H63" s="125"/>
      <c r="I63" s="122" t="s">
        <v>184</v>
      </c>
      <c r="J63" s="126" t="str">
        <f>VLOOKUP(I63, Teams!$P$11:$Q$13, 2, FALSE)</f>
        <v>Bo C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32"/>
    </row>
    <row r="64" ht="60.0" customHeight="1">
      <c r="B64" s="134" t="s">
        <v>184</v>
      </c>
      <c r="C64" s="123" t="str">
        <f>VLOOKUP(B64, Teams!$N$11:$O$13, 2, FALSE)</f>
        <v>Nathan</v>
      </c>
      <c r="D64" s="124"/>
      <c r="E64" s="124"/>
      <c r="F64" s="124"/>
      <c r="G64" s="131"/>
      <c r="H64" s="125"/>
      <c r="I64" s="122" t="s">
        <v>175</v>
      </c>
      <c r="J64" s="126" t="str">
        <f>VLOOKUP(I64, Teams!$P$11:$Q$13, 2, FALSE)</f>
        <v>Richard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32"/>
    </row>
    <row r="65" ht="60.0" customHeight="1">
      <c r="B65" s="134" t="s">
        <v>175</v>
      </c>
      <c r="C65" s="123" t="str">
        <f>VLOOKUP(B65, Teams!$N$11:$O$13, 2, FALSE)</f>
        <v>Bow (R)</v>
      </c>
      <c r="D65" s="124"/>
      <c r="E65" s="124"/>
      <c r="F65" s="124"/>
      <c r="G65" s="131"/>
      <c r="H65" s="125"/>
      <c r="I65" s="122" t="s">
        <v>193</v>
      </c>
      <c r="J65" s="126" t="str">
        <f>VLOOKUP(I65, Teams!$P$11:$Q$13, 2, FALSE)</f>
        <v>Peter H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32"/>
    </row>
    <row r="66" ht="60.0" customHeight="1">
      <c r="B66" s="134" t="s">
        <v>184</v>
      </c>
      <c r="C66" s="123" t="str">
        <f>VLOOKUP(B66, Teams!$N$11:$O$13, 2, FALSE)</f>
        <v>Nathan</v>
      </c>
      <c r="D66" s="124"/>
      <c r="E66" s="124"/>
      <c r="F66" s="124"/>
      <c r="G66" s="131"/>
      <c r="H66" s="125"/>
      <c r="I66" s="134" t="s">
        <v>184</v>
      </c>
      <c r="J66" s="126" t="str">
        <f>VLOOKUP(I66, Teams!$P$11:$Q$13, 2, FALSE)</f>
        <v>Bo C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32"/>
    </row>
    <row r="67" ht="60.0" customHeight="1">
      <c r="B67" s="122" t="s">
        <v>193</v>
      </c>
      <c r="C67" s="123" t="str">
        <f>VLOOKUP(B67, Teams!$N$11:$O$13, 2, FALSE)</f>
        <v>Kyle</v>
      </c>
      <c r="D67" s="124"/>
      <c r="E67" s="124"/>
      <c r="F67" s="124"/>
      <c r="G67" s="131"/>
      <c r="H67" s="125"/>
      <c r="I67" s="122" t="s">
        <v>193</v>
      </c>
      <c r="J67" s="126" t="str">
        <f>VLOOKUP(I67, Teams!$P$11:$Q$13, 2, FALSE)</f>
        <v>Peter H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32"/>
    </row>
    <row r="68" ht="60.0" customHeight="1">
      <c r="B68" s="135" t="s">
        <v>175</v>
      </c>
      <c r="C68" s="136" t="str">
        <f>VLOOKUP(B68, Teams!$N$11:$O$13, 2, FALSE)</f>
        <v>Bow (R)</v>
      </c>
      <c r="D68" s="137"/>
      <c r="E68" s="137"/>
      <c r="F68" s="137"/>
      <c r="G68" s="137"/>
      <c r="H68" s="138"/>
      <c r="I68" s="135" t="s">
        <v>175</v>
      </c>
      <c r="J68" s="136" t="str">
        <f>VLOOKUP(I68, Teams!$P$11:$Q$13, 2, FALSE)</f>
        <v>Richard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43"/>
    </row>
    <row r="69" ht="37.5" customHeight="1">
      <c r="B69" s="144" t="s">
        <v>221</v>
      </c>
      <c r="C69" s="145"/>
      <c r="D69" s="146"/>
      <c r="E69" s="146"/>
      <c r="F69" s="146"/>
      <c r="G69" s="146"/>
      <c r="H69" s="146"/>
      <c r="I69" s="144" t="s">
        <v>221</v>
      </c>
      <c r="J69" s="145"/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51"/>
      <c r="W69" s="152"/>
    </row>
    <row r="70" ht="37.5" customHeight="1">
      <c r="B70" s="153"/>
      <c r="C70" s="154"/>
      <c r="D70" s="155"/>
      <c r="E70" s="155"/>
      <c r="F70" s="155"/>
      <c r="G70" s="155"/>
      <c r="H70" s="155"/>
      <c r="I70" s="153"/>
      <c r="J70" s="154"/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5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</sheetData>
  <mergeCells count="124">
    <mergeCell ref="Q15:Q16"/>
    <mergeCell ref="R15:R16"/>
    <mergeCell ref="Q18:T18"/>
    <mergeCell ref="S20:T20"/>
    <mergeCell ref="U20:V20"/>
    <mergeCell ref="H15:H16"/>
    <mergeCell ref="I15:I16"/>
    <mergeCell ref="B20:H20"/>
    <mergeCell ref="B21:W21"/>
    <mergeCell ref="B22:H22"/>
    <mergeCell ref="I22:O22"/>
    <mergeCell ref="Q22:R22"/>
    <mergeCell ref="R33:R34"/>
    <mergeCell ref="S33:S34"/>
    <mergeCell ref="T33:T34"/>
    <mergeCell ref="U33:U34"/>
    <mergeCell ref="V33:V34"/>
    <mergeCell ref="W33:W34"/>
    <mergeCell ref="Q36:T36"/>
    <mergeCell ref="G33:G34"/>
    <mergeCell ref="H33:H34"/>
    <mergeCell ref="M33:M34"/>
    <mergeCell ref="N33:N34"/>
    <mergeCell ref="O33:O34"/>
    <mergeCell ref="P33:P34"/>
    <mergeCell ref="Q33:Q34"/>
    <mergeCell ref="B2:H2"/>
    <mergeCell ref="J2:L2"/>
    <mergeCell ref="S2:T2"/>
    <mergeCell ref="U2:V2"/>
    <mergeCell ref="B3:W3"/>
    <mergeCell ref="B4:H4"/>
    <mergeCell ref="I4:O4"/>
    <mergeCell ref="U4:V4"/>
    <mergeCell ref="M15:M16"/>
    <mergeCell ref="N15:N16"/>
    <mergeCell ref="O15:O16"/>
    <mergeCell ref="P15:P16"/>
    <mergeCell ref="S15:S16"/>
    <mergeCell ref="T15:T16"/>
    <mergeCell ref="U15:U16"/>
    <mergeCell ref="V15:V16"/>
    <mergeCell ref="W15:W16"/>
    <mergeCell ref="Q4:R4"/>
    <mergeCell ref="S4:T4"/>
    <mergeCell ref="B15:B16"/>
    <mergeCell ref="D15:D16"/>
    <mergeCell ref="E15:E16"/>
    <mergeCell ref="F15:F16"/>
    <mergeCell ref="G15:G16"/>
    <mergeCell ref="S22:T22"/>
    <mergeCell ref="U22:V22"/>
    <mergeCell ref="Q40:R40"/>
    <mergeCell ref="S40:T40"/>
    <mergeCell ref="B38:H38"/>
    <mergeCell ref="J38:L38"/>
    <mergeCell ref="S38:T38"/>
    <mergeCell ref="U38:V38"/>
    <mergeCell ref="B39:W39"/>
    <mergeCell ref="B40:H40"/>
    <mergeCell ref="I40:O40"/>
    <mergeCell ref="U40:V40"/>
    <mergeCell ref="I69:I70"/>
    <mergeCell ref="K69:K70"/>
    <mergeCell ref="G51:G52"/>
    <mergeCell ref="B56:H56"/>
    <mergeCell ref="J56:L56"/>
    <mergeCell ref="B69:B70"/>
    <mergeCell ref="D69:D70"/>
    <mergeCell ref="E69:E70"/>
    <mergeCell ref="F69:F70"/>
    <mergeCell ref="L69:L70"/>
    <mergeCell ref="K15:K16"/>
    <mergeCell ref="L15:L16"/>
    <mergeCell ref="J20:L20"/>
    <mergeCell ref="B33:B34"/>
    <mergeCell ref="D33:D34"/>
    <mergeCell ref="E33:E34"/>
    <mergeCell ref="F33:F34"/>
    <mergeCell ref="L33:L34"/>
    <mergeCell ref="H51:H52"/>
    <mergeCell ref="I51:I52"/>
    <mergeCell ref="L51:L52"/>
    <mergeCell ref="M51:M52"/>
    <mergeCell ref="N51:N52"/>
    <mergeCell ref="O51:O52"/>
    <mergeCell ref="P51:P52"/>
    <mergeCell ref="I33:I34"/>
    <mergeCell ref="K33:K34"/>
    <mergeCell ref="B51:B52"/>
    <mergeCell ref="D51:D52"/>
    <mergeCell ref="E51:E52"/>
    <mergeCell ref="F51:F52"/>
    <mergeCell ref="K51:K52"/>
    <mergeCell ref="Q51:Q52"/>
    <mergeCell ref="R51:R52"/>
    <mergeCell ref="S51:S52"/>
    <mergeCell ref="T51:T52"/>
    <mergeCell ref="U51:U52"/>
    <mergeCell ref="V51:V52"/>
    <mergeCell ref="W51:W52"/>
    <mergeCell ref="S58:T58"/>
    <mergeCell ref="U58:V58"/>
    <mergeCell ref="Q54:T54"/>
    <mergeCell ref="S56:T56"/>
    <mergeCell ref="U56:V56"/>
    <mergeCell ref="B57:W57"/>
    <mergeCell ref="B58:C58"/>
    <mergeCell ref="I58:J58"/>
    <mergeCell ref="Q58:R58"/>
    <mergeCell ref="R69:R70"/>
    <mergeCell ref="S69:S70"/>
    <mergeCell ref="T69:T70"/>
    <mergeCell ref="U69:U70"/>
    <mergeCell ref="V69:V70"/>
    <mergeCell ref="W69:W70"/>
    <mergeCell ref="Q72:T72"/>
    <mergeCell ref="G69:G70"/>
    <mergeCell ref="H69:H70"/>
    <mergeCell ref="M69:M70"/>
    <mergeCell ref="N69:N70"/>
    <mergeCell ref="O69:O70"/>
    <mergeCell ref="P69:P70"/>
    <mergeCell ref="Q69:Q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>
      <c r="B2" s="167" t="s">
        <v>202</v>
      </c>
      <c r="H2" s="96"/>
      <c r="I2" s="168" t="s">
        <v>203</v>
      </c>
      <c r="J2" s="169">
        <v>45959.0</v>
      </c>
      <c r="M2" s="170" t="s">
        <v>204</v>
      </c>
      <c r="N2" s="171">
        <v>3.0</v>
      </c>
      <c r="O2" s="104"/>
      <c r="P2" s="170" t="s">
        <v>205</v>
      </c>
      <c r="Q2" s="172">
        <v>1.0</v>
      </c>
      <c r="R2" s="173"/>
      <c r="S2" s="174"/>
      <c r="U2" s="173"/>
      <c r="W2" s="104"/>
    </row>
    <row r="3">
      <c r="B3" s="104"/>
    </row>
    <row r="4" ht="37.5" customHeight="1">
      <c r="B4" s="106" t="s">
        <v>206</v>
      </c>
      <c r="I4" s="107" t="s">
        <v>229</v>
      </c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Teams!$B$11:$C$13, 2, FALSE)</f>
        <v>Jaydon</v>
      </c>
      <c r="D6" s="175"/>
      <c r="E6" s="175"/>
      <c r="F6" s="175"/>
      <c r="G6" s="175"/>
      <c r="H6" s="176"/>
      <c r="I6" s="177" t="s">
        <v>175</v>
      </c>
      <c r="J6" s="126" t="str">
        <f>VLOOKUP(I6, Teams!$J$11:$K$13, 2, FALSE)</f>
        <v>Aarya (R)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32"/>
    </row>
    <row r="7" ht="60.0" customHeight="1">
      <c r="B7" s="122" t="s">
        <v>175</v>
      </c>
      <c r="C7" s="123" t="str">
        <f>VLOOKUP(B7, Teams!$B$11:$C$13, 2, FALSE)</f>
        <v>Darcy</v>
      </c>
      <c r="D7" s="175"/>
      <c r="E7" s="175"/>
      <c r="F7" s="175"/>
      <c r="G7" s="178"/>
      <c r="H7" s="176"/>
      <c r="I7" s="177" t="s">
        <v>184</v>
      </c>
      <c r="J7" s="126" t="str">
        <f>VLOOKUP(I7, Teams!$J$11:$K$13, 2, FALSE)</f>
        <v>John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32"/>
    </row>
    <row r="8" ht="60.0" customHeight="1">
      <c r="B8" s="122" t="s">
        <v>184</v>
      </c>
      <c r="C8" s="123" t="str">
        <f>VLOOKUP(B8, Teams!$B$11:$C$13, 2, FALSE)</f>
        <v>Andrew</v>
      </c>
      <c r="D8" s="175"/>
      <c r="E8" s="175"/>
      <c r="F8" s="175"/>
      <c r="G8" s="178"/>
      <c r="H8" s="176"/>
      <c r="I8" s="177" t="s">
        <v>193</v>
      </c>
      <c r="J8" s="126" t="str">
        <f>VLOOKUP(I8, Teams!$J$11:$K$13, 2, FALSE)</f>
        <v>Angela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32"/>
    </row>
    <row r="9" ht="60.0" customHeight="1">
      <c r="B9" s="122" t="s">
        <v>193</v>
      </c>
      <c r="C9" s="123" t="str">
        <f>VLOOKUP(B9, Teams!$B$11:$C$13, 2, FALSE)</f>
        <v>Jaydon</v>
      </c>
      <c r="D9" s="175"/>
      <c r="E9" s="175"/>
      <c r="F9" s="175"/>
      <c r="G9" s="178"/>
      <c r="H9" s="176"/>
      <c r="I9" s="177" t="s">
        <v>184</v>
      </c>
      <c r="J9" s="126" t="str">
        <f>VLOOKUP(I9, Teams!$J$11:$K$13, 2, FALSE)</f>
        <v>John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32"/>
    </row>
    <row r="10" ht="60.0" customHeight="1">
      <c r="B10" s="134" t="s">
        <v>184</v>
      </c>
      <c r="C10" s="123" t="str">
        <f>VLOOKUP(B10, Teams!$B$11:$C$13, 2, FALSE)</f>
        <v>Andrew</v>
      </c>
      <c r="D10" s="175"/>
      <c r="E10" s="175"/>
      <c r="F10" s="175"/>
      <c r="G10" s="178"/>
      <c r="H10" s="176"/>
      <c r="I10" s="177" t="s">
        <v>175</v>
      </c>
      <c r="J10" s="126" t="str">
        <f>VLOOKUP(I10, Teams!$J$11:$K$13, 2, FALSE)</f>
        <v>Aarya (R)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32"/>
    </row>
    <row r="11" ht="60.0" customHeight="1">
      <c r="B11" s="134" t="s">
        <v>175</v>
      </c>
      <c r="C11" s="123" t="str">
        <f>VLOOKUP(B11, Teams!$B$11:$C$13, 2, FALSE)</f>
        <v>Darcy</v>
      </c>
      <c r="D11" s="175"/>
      <c r="E11" s="175"/>
      <c r="F11" s="175"/>
      <c r="G11" s="178"/>
      <c r="H11" s="176"/>
      <c r="I11" s="177" t="s">
        <v>193</v>
      </c>
      <c r="J11" s="126" t="str">
        <f>VLOOKUP(I11, Teams!$J$11:$K$13, 2, FALSE)</f>
        <v>Angela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32"/>
    </row>
    <row r="12" ht="60.0" customHeight="1">
      <c r="B12" s="134" t="s">
        <v>184</v>
      </c>
      <c r="C12" s="123" t="str">
        <f>VLOOKUP(B12, Teams!$B$11:$C$13, 2, FALSE)</f>
        <v>Andrew</v>
      </c>
      <c r="D12" s="175"/>
      <c r="E12" s="175"/>
      <c r="F12" s="175"/>
      <c r="G12" s="178"/>
      <c r="H12" s="176"/>
      <c r="I12" s="179" t="s">
        <v>184</v>
      </c>
      <c r="J12" s="126" t="str">
        <f>VLOOKUP(I12, Teams!$J$11:$K$13, 2, FALSE)</f>
        <v>John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32"/>
    </row>
    <row r="13" ht="60.0" customHeight="1">
      <c r="B13" s="122" t="s">
        <v>193</v>
      </c>
      <c r="C13" s="123" t="str">
        <f>VLOOKUP(B13, Teams!$B$11:$C$13, 2, FALSE)</f>
        <v>Jaydon</v>
      </c>
      <c r="D13" s="175"/>
      <c r="E13" s="175"/>
      <c r="F13" s="175"/>
      <c r="G13" s="178"/>
      <c r="H13" s="176"/>
      <c r="I13" s="177" t="s">
        <v>193</v>
      </c>
      <c r="J13" s="126" t="str">
        <f>VLOOKUP(I13, Teams!$J$11:$K$13, 2, FALSE)</f>
        <v>Angela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32"/>
    </row>
    <row r="14" ht="60.0" customHeight="1">
      <c r="B14" s="135" t="s">
        <v>175</v>
      </c>
      <c r="C14" s="136" t="str">
        <f>VLOOKUP(B14, Teams!$B$11:$C$13, 2, FALSE)</f>
        <v>Darcy</v>
      </c>
      <c r="D14" s="180"/>
      <c r="E14" s="180"/>
      <c r="F14" s="180"/>
      <c r="G14" s="180"/>
      <c r="H14" s="181"/>
      <c r="I14" s="182" t="s">
        <v>175</v>
      </c>
      <c r="J14" s="136" t="str">
        <f>VLOOKUP(I14, Teams!$J$11:$K$13, 2, FALSE)</f>
        <v>Aarya (R)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43"/>
    </row>
    <row r="15" ht="37.5" customHeight="1">
      <c r="B15" s="144" t="s">
        <v>221</v>
      </c>
      <c r="C15" s="145" t="str">
        <f>C14</f>
        <v>Darcy</v>
      </c>
      <c r="D15" s="146"/>
      <c r="E15" s="146"/>
      <c r="F15" s="146"/>
      <c r="G15" s="146"/>
      <c r="H15" s="146"/>
      <c r="I15" s="144" t="s">
        <v>221</v>
      </c>
      <c r="J15" s="145" t="str">
        <f>J14</f>
        <v>Aarya (R)</v>
      </c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51"/>
      <c r="W15" s="152"/>
    </row>
    <row r="16" ht="37.5" customHeight="1">
      <c r="B16" s="153"/>
      <c r="C16" s="154" t="str">
        <f>C12</f>
        <v>Andrew</v>
      </c>
      <c r="D16" s="155"/>
      <c r="E16" s="155"/>
      <c r="F16" s="155"/>
      <c r="G16" s="155"/>
      <c r="H16" s="155"/>
      <c r="I16" s="153"/>
      <c r="J16" s="154" t="str">
        <f>J12</f>
        <v>John</v>
      </c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5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5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>
      <c r="B20" s="167" t="s">
        <v>202</v>
      </c>
      <c r="H20" s="96"/>
      <c r="I20" s="168" t="s">
        <v>203</v>
      </c>
      <c r="J20" s="169">
        <v>45945.0</v>
      </c>
      <c r="M20" s="170" t="s">
        <v>204</v>
      </c>
      <c r="N20" s="172">
        <f>N2</f>
        <v>3</v>
      </c>
      <c r="O20" s="104"/>
      <c r="P20" s="170" t="s">
        <v>205</v>
      </c>
      <c r="Q20" s="171">
        <v>2.0</v>
      </c>
      <c r="R20" s="173"/>
      <c r="S20" s="174"/>
      <c r="U20" s="173"/>
      <c r="W20" s="104"/>
    </row>
    <row r="21">
      <c r="B21" s="104"/>
    </row>
    <row r="22" ht="37.5" customHeight="1">
      <c r="B22" s="107" t="s">
        <v>224</v>
      </c>
      <c r="I22" s="107" t="s">
        <v>234</v>
      </c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Teams!$D$11:$E$13, 2, FALSE)</f>
        <v>Peter A</v>
      </c>
      <c r="D24" s="175"/>
      <c r="E24" s="175"/>
      <c r="F24" s="175"/>
      <c r="G24" s="175"/>
      <c r="H24" s="176"/>
      <c r="I24" s="177" t="s">
        <v>175</v>
      </c>
      <c r="J24" s="126" t="str">
        <f>VLOOKUP(I24, Teams!$L$11:$M$13, 2, FALSE)</f>
        <v>Mick R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32"/>
    </row>
    <row r="25" ht="60.0" customHeight="1">
      <c r="B25" s="122" t="s">
        <v>175</v>
      </c>
      <c r="C25" s="123" t="str">
        <f>VLOOKUP(B25, Teams!$D$11:$E$13, 2, FALSE)</f>
        <v>Peter W</v>
      </c>
      <c r="D25" s="175"/>
      <c r="E25" s="175"/>
      <c r="F25" s="175"/>
      <c r="G25" s="178"/>
      <c r="H25" s="176"/>
      <c r="I25" s="177" t="s">
        <v>184</v>
      </c>
      <c r="J25" s="126" t="str">
        <f>VLOOKUP(I25, Teams!$L$11:$M$13, 2, FALSE)</f>
        <v>Paula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32"/>
    </row>
    <row r="26" ht="60.0" customHeight="1">
      <c r="B26" s="122" t="s">
        <v>184</v>
      </c>
      <c r="C26" s="123" t="str">
        <f>VLOOKUP(B26, Teams!$D$11:$E$13, 2, FALSE)</f>
        <v>Rohit</v>
      </c>
      <c r="D26" s="175"/>
      <c r="E26" s="175"/>
      <c r="F26" s="175"/>
      <c r="G26" s="178"/>
      <c r="H26" s="176"/>
      <c r="I26" s="177" t="s">
        <v>193</v>
      </c>
      <c r="J26" s="126" t="str">
        <f>VLOOKUP(I26, Teams!$L$11:$M$13, 2, FALSE)</f>
        <v>Michael C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32"/>
    </row>
    <row r="27" ht="60.0" customHeight="1">
      <c r="B27" s="122" t="s">
        <v>193</v>
      </c>
      <c r="C27" s="123" t="str">
        <f>VLOOKUP(B27, Teams!$D$11:$E$13, 2, FALSE)</f>
        <v>Peter A</v>
      </c>
      <c r="D27" s="175"/>
      <c r="E27" s="175"/>
      <c r="F27" s="175"/>
      <c r="G27" s="178"/>
      <c r="H27" s="176"/>
      <c r="I27" s="177" t="s">
        <v>184</v>
      </c>
      <c r="J27" s="126" t="str">
        <f>VLOOKUP(I27, Teams!$L$11:$M$13, 2, FALSE)</f>
        <v>Paula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32"/>
    </row>
    <row r="28" ht="60.0" customHeight="1">
      <c r="B28" s="134" t="s">
        <v>184</v>
      </c>
      <c r="C28" s="123" t="str">
        <f>VLOOKUP(B28, Teams!$D$11:$E$13, 2, FALSE)</f>
        <v>Rohit</v>
      </c>
      <c r="D28" s="175"/>
      <c r="E28" s="175"/>
      <c r="F28" s="175"/>
      <c r="G28" s="178"/>
      <c r="H28" s="176"/>
      <c r="I28" s="177" t="s">
        <v>175</v>
      </c>
      <c r="J28" s="126" t="str">
        <f>VLOOKUP(I28, Teams!$L$11:$M$13, 2, FALSE)</f>
        <v>Mick R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32"/>
    </row>
    <row r="29" ht="60.0" customHeight="1">
      <c r="B29" s="134" t="s">
        <v>175</v>
      </c>
      <c r="C29" s="123" t="str">
        <f>VLOOKUP(B29, Teams!$D$11:$E$13, 2, FALSE)</f>
        <v>Peter W</v>
      </c>
      <c r="D29" s="175"/>
      <c r="E29" s="175"/>
      <c r="F29" s="175"/>
      <c r="G29" s="178"/>
      <c r="H29" s="176"/>
      <c r="I29" s="177" t="s">
        <v>193</v>
      </c>
      <c r="J29" s="126" t="str">
        <f>VLOOKUP(I29, Teams!$L$11:$M$13, 2, FALSE)</f>
        <v>Michael C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32"/>
    </row>
    <row r="30" ht="60.0" customHeight="1">
      <c r="B30" s="134" t="s">
        <v>184</v>
      </c>
      <c r="C30" s="123" t="str">
        <f>VLOOKUP(B30, Teams!$D$11:$E$13, 2, FALSE)</f>
        <v>Rohit</v>
      </c>
      <c r="D30" s="175"/>
      <c r="E30" s="175"/>
      <c r="F30" s="175"/>
      <c r="G30" s="178"/>
      <c r="H30" s="176"/>
      <c r="I30" s="179" t="s">
        <v>184</v>
      </c>
      <c r="J30" s="126" t="str">
        <f>VLOOKUP(I30, Teams!$L$11:$M$13, 2, FALSE)</f>
        <v>Paula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32"/>
    </row>
    <row r="31" ht="60.0" customHeight="1">
      <c r="B31" s="122" t="s">
        <v>193</v>
      </c>
      <c r="C31" s="123" t="str">
        <f>VLOOKUP(B31, Teams!$D$11:$E$13, 2, FALSE)</f>
        <v>Peter A</v>
      </c>
      <c r="D31" s="175"/>
      <c r="E31" s="175"/>
      <c r="F31" s="175"/>
      <c r="G31" s="178"/>
      <c r="H31" s="176"/>
      <c r="I31" s="177" t="s">
        <v>193</v>
      </c>
      <c r="J31" s="126" t="str">
        <f>VLOOKUP(I31, Teams!$L$11:$M$13, 2, FALSE)</f>
        <v>Michael C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32"/>
    </row>
    <row r="32" ht="60.0" customHeight="1">
      <c r="B32" s="135" t="s">
        <v>175</v>
      </c>
      <c r="C32" s="136" t="str">
        <f>VLOOKUP(B32, Teams!$D$11:$E$13, 2, FALSE)</f>
        <v>Peter W</v>
      </c>
      <c r="D32" s="180"/>
      <c r="E32" s="180"/>
      <c r="F32" s="180"/>
      <c r="G32" s="180"/>
      <c r="H32" s="181"/>
      <c r="I32" s="182" t="s">
        <v>175</v>
      </c>
      <c r="J32" s="136" t="str">
        <f>VLOOKUP(I32, Teams!$L$11:$M$13, 2, FALSE)</f>
        <v>Mick R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43"/>
    </row>
    <row r="33" ht="37.5" customHeight="1">
      <c r="B33" s="144" t="s">
        <v>221</v>
      </c>
      <c r="C33" s="145" t="str">
        <f>C32</f>
        <v>Peter W</v>
      </c>
      <c r="D33" s="146"/>
      <c r="E33" s="146"/>
      <c r="F33" s="146"/>
      <c r="G33" s="146"/>
      <c r="H33" s="146"/>
      <c r="I33" s="144" t="s">
        <v>221</v>
      </c>
      <c r="J33" s="145" t="str">
        <f>J32</f>
        <v>Mick R</v>
      </c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51"/>
      <c r="W33" s="152"/>
    </row>
    <row r="34" ht="37.5" customHeight="1">
      <c r="B34" s="153"/>
      <c r="C34" s="154" t="str">
        <f>C30</f>
        <v>Rohit</v>
      </c>
      <c r="D34" s="155"/>
      <c r="E34" s="155"/>
      <c r="F34" s="155"/>
      <c r="G34" s="155"/>
      <c r="H34" s="155"/>
      <c r="I34" s="153"/>
      <c r="J34" s="154" t="str">
        <f>J30</f>
        <v>Paula</v>
      </c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5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B38" s="167" t="s">
        <v>202</v>
      </c>
      <c r="H38" s="96"/>
      <c r="I38" s="168" t="s">
        <v>203</v>
      </c>
      <c r="J38" s="169">
        <v>45945.0</v>
      </c>
      <c r="M38" s="170" t="s">
        <v>204</v>
      </c>
      <c r="N38" s="172">
        <f>N2</f>
        <v>3</v>
      </c>
      <c r="O38" s="104"/>
      <c r="P38" s="170" t="s">
        <v>205</v>
      </c>
      <c r="Q38" s="171">
        <v>3.0</v>
      </c>
      <c r="R38" s="173"/>
      <c r="S38" s="174"/>
      <c r="U38" s="173"/>
      <c r="W38" s="104"/>
    </row>
    <row r="39">
      <c r="B39" s="104"/>
    </row>
    <row r="40" ht="37.5" customHeight="1">
      <c r="B40" s="107" t="s">
        <v>231</v>
      </c>
      <c r="I40" s="107" t="s">
        <v>227</v>
      </c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83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77" t="s">
        <v>193</v>
      </c>
      <c r="C42" s="184" t="str">
        <f>VLOOKUP(B42, Teams!$F$11:$G$13, 2, FALSE)</f>
        <v>Tilly (R)</v>
      </c>
      <c r="D42" s="175"/>
      <c r="E42" s="175"/>
      <c r="F42" s="175"/>
      <c r="G42" s="175"/>
      <c r="H42" s="176"/>
      <c r="I42" s="177" t="s">
        <v>175</v>
      </c>
      <c r="J42" s="185" t="str">
        <f>VLOOKUP(I42, Teams!$N$11:$O$13, 2, FALSE)</f>
        <v>Bow (R)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32"/>
    </row>
    <row r="43" ht="60.0" customHeight="1">
      <c r="B43" s="177" t="s">
        <v>175</v>
      </c>
      <c r="C43" s="123" t="str">
        <f>VLOOKUP(B43, Teams!$F$11:$G$13, 2, FALSE)</f>
        <v>Dheep</v>
      </c>
      <c r="D43" s="175"/>
      <c r="E43" s="175"/>
      <c r="F43" s="175"/>
      <c r="G43" s="178"/>
      <c r="H43" s="176"/>
      <c r="I43" s="177" t="s">
        <v>184</v>
      </c>
      <c r="J43" s="126" t="str">
        <f>VLOOKUP(I43, Teams!$N$11:$O$13, 2, FALSE)</f>
        <v>Nathan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32"/>
    </row>
    <row r="44" ht="60.0" customHeight="1">
      <c r="B44" s="177" t="s">
        <v>184</v>
      </c>
      <c r="C44" s="186" t="str">
        <f>VLOOKUP(B44, Teams!$F$11:$G$13, 2, FALSE)</f>
        <v>Reece</v>
      </c>
      <c r="D44" s="175"/>
      <c r="E44" s="175"/>
      <c r="F44" s="175"/>
      <c r="G44" s="178"/>
      <c r="H44" s="176"/>
      <c r="I44" s="177" t="s">
        <v>193</v>
      </c>
      <c r="J44" s="187" t="str">
        <f>VLOOKUP(I44, Teams!$N$11:$O$13, 2, FALSE)</f>
        <v>Kyle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32"/>
    </row>
    <row r="45" ht="60.0" customHeight="1">
      <c r="B45" s="177" t="s">
        <v>193</v>
      </c>
      <c r="C45" s="184" t="str">
        <f>VLOOKUP(B45, Teams!$F$11:$G$13, 2, FALSE)</f>
        <v>Tilly (R)</v>
      </c>
      <c r="D45" s="175"/>
      <c r="E45" s="175"/>
      <c r="F45" s="175"/>
      <c r="G45" s="178"/>
      <c r="H45" s="176"/>
      <c r="I45" s="177" t="s">
        <v>184</v>
      </c>
      <c r="J45" s="185" t="str">
        <f>VLOOKUP(I45, Teams!$N$11:$O$13, 2, FALSE)</f>
        <v>Nathan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32"/>
    </row>
    <row r="46" ht="60.0" customHeight="1">
      <c r="B46" s="179" t="s">
        <v>184</v>
      </c>
      <c r="C46" s="123" t="str">
        <f>VLOOKUP(B46, Teams!$F$11:$G$13, 2, FALSE)</f>
        <v>Reece</v>
      </c>
      <c r="D46" s="175"/>
      <c r="E46" s="175"/>
      <c r="F46" s="175"/>
      <c r="G46" s="178"/>
      <c r="H46" s="176"/>
      <c r="I46" s="177" t="s">
        <v>175</v>
      </c>
      <c r="J46" s="126" t="str">
        <f>VLOOKUP(I46, Teams!$N$11:$O$13, 2, FALSE)</f>
        <v>Bow (R)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32"/>
    </row>
    <row r="47" ht="60.0" customHeight="1">
      <c r="B47" s="179" t="s">
        <v>175</v>
      </c>
      <c r="C47" s="186" t="str">
        <f>VLOOKUP(B47, Teams!$F$11:$G$13, 2, FALSE)</f>
        <v>Dheep</v>
      </c>
      <c r="D47" s="175"/>
      <c r="E47" s="175"/>
      <c r="F47" s="175"/>
      <c r="G47" s="178"/>
      <c r="H47" s="176"/>
      <c r="I47" s="177" t="s">
        <v>193</v>
      </c>
      <c r="J47" s="187" t="str">
        <f>VLOOKUP(I47, Teams!$N$11:$O$13, 2, FALSE)</f>
        <v>Kyle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32"/>
    </row>
    <row r="48" ht="60.0" customHeight="1">
      <c r="B48" s="179" t="s">
        <v>184</v>
      </c>
      <c r="C48" s="123" t="str">
        <f>VLOOKUP(B48, Teams!$F$11:$G$13, 2, FALSE)</f>
        <v>Reece</v>
      </c>
      <c r="D48" s="175"/>
      <c r="E48" s="175"/>
      <c r="F48" s="175"/>
      <c r="G48" s="178"/>
      <c r="H48" s="176"/>
      <c r="I48" s="179" t="s">
        <v>184</v>
      </c>
      <c r="J48" s="126" t="str">
        <f>VLOOKUP(I48, Teams!$N$11:$O$13, 2, FALSE)</f>
        <v>Nathan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32"/>
    </row>
    <row r="49" ht="60.0" customHeight="1">
      <c r="B49" s="177" t="s">
        <v>193</v>
      </c>
      <c r="C49" s="184" t="str">
        <f>VLOOKUP(B49, Teams!$F$11:$G$13, 2, FALSE)</f>
        <v>Tilly (R)</v>
      </c>
      <c r="D49" s="175"/>
      <c r="E49" s="175"/>
      <c r="F49" s="175"/>
      <c r="G49" s="178"/>
      <c r="H49" s="176"/>
      <c r="I49" s="177" t="s">
        <v>193</v>
      </c>
      <c r="J49" s="187" t="str">
        <f>VLOOKUP(I49, Teams!$N$11:$O$13, 2, FALSE)</f>
        <v>Kyle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32"/>
    </row>
    <row r="50" ht="60.0" customHeight="1">
      <c r="B50" s="182" t="s">
        <v>175</v>
      </c>
      <c r="C50" s="136" t="str">
        <f>VLOOKUP(B50, Teams!$F$11:$G$13, 2, FALSE)</f>
        <v>Dheep</v>
      </c>
      <c r="D50" s="180"/>
      <c r="E50" s="180"/>
      <c r="F50" s="180"/>
      <c r="G50" s="180"/>
      <c r="H50" s="181"/>
      <c r="I50" s="182" t="s">
        <v>175</v>
      </c>
      <c r="J50" s="136" t="str">
        <f>VLOOKUP(I50, Teams!$N$11:$O$13, 2, FALSE)</f>
        <v>Bow (R)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43"/>
    </row>
    <row r="51" ht="37.5" customHeight="1">
      <c r="B51" s="188" t="s">
        <v>221</v>
      </c>
      <c r="C51" s="145" t="str">
        <f>C50</f>
        <v>Dheep</v>
      </c>
      <c r="D51" s="146"/>
      <c r="E51" s="146"/>
      <c r="F51" s="146"/>
      <c r="G51" s="146"/>
      <c r="H51" s="146"/>
      <c r="I51" s="188" t="s">
        <v>221</v>
      </c>
      <c r="J51" s="145" t="str">
        <f>J50</f>
        <v>Bow (R)</v>
      </c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51"/>
      <c r="W51" s="152"/>
    </row>
    <row r="52" ht="37.5" customHeight="1">
      <c r="B52" s="153"/>
      <c r="C52" s="154" t="str">
        <f>C48</f>
        <v>Reece</v>
      </c>
      <c r="D52" s="155"/>
      <c r="E52" s="155"/>
      <c r="F52" s="155"/>
      <c r="G52" s="155"/>
      <c r="H52" s="155"/>
      <c r="I52" s="153"/>
      <c r="J52" s="154" t="str">
        <f>J48</f>
        <v>Nathan</v>
      </c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5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3.0" customHeight="1"/>
    <row r="56">
      <c r="B56" s="167" t="s">
        <v>202</v>
      </c>
      <c r="H56" s="96"/>
      <c r="I56" s="168" t="s">
        <v>203</v>
      </c>
      <c r="J56" s="169">
        <v>45945.0</v>
      </c>
      <c r="M56" s="170" t="s">
        <v>204</v>
      </c>
      <c r="N56" s="172">
        <f>N2</f>
        <v>3</v>
      </c>
      <c r="O56" s="104"/>
      <c r="P56" s="170" t="s">
        <v>205</v>
      </c>
      <c r="Q56" s="171">
        <v>4.0</v>
      </c>
      <c r="R56" s="173"/>
      <c r="S56" s="174"/>
      <c r="U56" s="173"/>
      <c r="W56" s="104"/>
    </row>
    <row r="57">
      <c r="B57" s="104"/>
    </row>
    <row r="58" ht="37.5" customHeight="1">
      <c r="B58" s="107" t="s">
        <v>228</v>
      </c>
      <c r="D58" s="101"/>
      <c r="E58" s="101"/>
      <c r="F58" s="101"/>
      <c r="G58" s="101"/>
      <c r="H58" s="101"/>
      <c r="I58" s="107" t="s">
        <v>207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Teams!$H$11:$I$13, 2, FALSE)</f>
        <v>Simon</v>
      </c>
      <c r="D60" s="124"/>
      <c r="E60" s="124"/>
      <c r="F60" s="124"/>
      <c r="G60" s="124"/>
      <c r="H60" s="125"/>
      <c r="I60" s="122" t="s">
        <v>175</v>
      </c>
      <c r="J60" s="126" t="str">
        <f>VLOOKUP(I60, Teams!$P$11:$Q$13, 2, FALSE)</f>
        <v>Richard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32"/>
    </row>
    <row r="61" ht="60.0" customHeight="1">
      <c r="B61" s="122" t="s">
        <v>175</v>
      </c>
      <c r="C61" s="123" t="str">
        <f>VLOOKUP(B61, Teams!$H$11:$I$13, 2, FALSE)</f>
        <v>Harish</v>
      </c>
      <c r="D61" s="124"/>
      <c r="E61" s="124"/>
      <c r="F61" s="124"/>
      <c r="G61" s="131"/>
      <c r="H61" s="125"/>
      <c r="I61" s="122" t="s">
        <v>184</v>
      </c>
      <c r="J61" s="126" t="str">
        <f>VLOOKUP(I61, Teams!$P$11:$Q$13, 2, FALSE)</f>
        <v>Bo C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32"/>
    </row>
    <row r="62" ht="60.0" customHeight="1">
      <c r="B62" s="122" t="s">
        <v>184</v>
      </c>
      <c r="C62" s="123" t="str">
        <f>VLOOKUP(B62, Teams!$H$11:$I$13, 2, FALSE)</f>
        <v>Farhan</v>
      </c>
      <c r="D62" s="124"/>
      <c r="E62" s="124"/>
      <c r="F62" s="124"/>
      <c r="G62" s="131"/>
      <c r="H62" s="125"/>
      <c r="I62" s="122" t="s">
        <v>193</v>
      </c>
      <c r="J62" s="126" t="str">
        <f>VLOOKUP(I62, Teams!$P$11:$Q$13, 2, FALSE)</f>
        <v>Peter H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32"/>
    </row>
    <row r="63" ht="60.0" customHeight="1">
      <c r="B63" s="122" t="s">
        <v>193</v>
      </c>
      <c r="C63" s="123" t="str">
        <f>VLOOKUP(B63, Teams!$H$11:$I$13, 2, FALSE)</f>
        <v>Simon</v>
      </c>
      <c r="D63" s="124"/>
      <c r="E63" s="124"/>
      <c r="F63" s="124"/>
      <c r="G63" s="131"/>
      <c r="H63" s="125"/>
      <c r="I63" s="122" t="s">
        <v>184</v>
      </c>
      <c r="J63" s="126" t="str">
        <f>VLOOKUP(I63, Teams!$P$11:$Q$13, 2, FALSE)</f>
        <v>Bo C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32"/>
    </row>
    <row r="64" ht="60.0" customHeight="1">
      <c r="B64" s="134" t="s">
        <v>184</v>
      </c>
      <c r="C64" s="123" t="str">
        <f>VLOOKUP(B64, Teams!$H$11:$I$13, 2, FALSE)</f>
        <v>Farhan</v>
      </c>
      <c r="D64" s="124"/>
      <c r="E64" s="124"/>
      <c r="F64" s="124"/>
      <c r="G64" s="131"/>
      <c r="H64" s="125"/>
      <c r="I64" s="122" t="s">
        <v>175</v>
      </c>
      <c r="J64" s="126" t="str">
        <f>VLOOKUP(I64, Teams!$P$11:$Q$13, 2, FALSE)</f>
        <v>Richard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32"/>
    </row>
    <row r="65" ht="60.0" customHeight="1">
      <c r="B65" s="134" t="s">
        <v>175</v>
      </c>
      <c r="C65" s="123" t="str">
        <f>VLOOKUP(B65, Teams!$H$11:$I$13, 2, FALSE)</f>
        <v>Harish</v>
      </c>
      <c r="D65" s="124"/>
      <c r="E65" s="124"/>
      <c r="F65" s="124"/>
      <c r="G65" s="131"/>
      <c r="H65" s="125"/>
      <c r="I65" s="122" t="s">
        <v>193</v>
      </c>
      <c r="J65" s="126" t="str">
        <f>VLOOKUP(I65, Teams!$P$11:$Q$13, 2, FALSE)</f>
        <v>Peter H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32"/>
    </row>
    <row r="66" ht="60.0" customHeight="1">
      <c r="B66" s="134" t="s">
        <v>184</v>
      </c>
      <c r="C66" s="123" t="str">
        <f>VLOOKUP(B66, Teams!$H$11:$I$13, 2, FALSE)</f>
        <v>Farhan</v>
      </c>
      <c r="D66" s="124"/>
      <c r="E66" s="124"/>
      <c r="F66" s="124"/>
      <c r="G66" s="131"/>
      <c r="H66" s="125"/>
      <c r="I66" s="134" t="s">
        <v>184</v>
      </c>
      <c r="J66" s="126" t="str">
        <f>VLOOKUP(I66, Teams!$P$11:$Q$13, 2, FALSE)</f>
        <v>Bo C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32"/>
    </row>
    <row r="67" ht="60.0" customHeight="1">
      <c r="B67" s="122" t="s">
        <v>193</v>
      </c>
      <c r="C67" s="123" t="str">
        <f>VLOOKUP(B67, Teams!$H$11:$I$13, 2, FALSE)</f>
        <v>Simon</v>
      </c>
      <c r="D67" s="124"/>
      <c r="E67" s="124"/>
      <c r="F67" s="124"/>
      <c r="G67" s="131"/>
      <c r="H67" s="125"/>
      <c r="I67" s="122" t="s">
        <v>193</v>
      </c>
      <c r="J67" s="126" t="str">
        <f>VLOOKUP(I67, Teams!$P$11:$Q$13, 2, FALSE)</f>
        <v>Peter H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32"/>
    </row>
    <row r="68" ht="60.0" customHeight="1">
      <c r="B68" s="135" t="s">
        <v>175</v>
      </c>
      <c r="C68" s="136" t="str">
        <f>VLOOKUP(B68, Teams!$H$11:$I$13, 2, FALSE)</f>
        <v>Harish</v>
      </c>
      <c r="D68" s="180"/>
      <c r="E68" s="180"/>
      <c r="F68" s="180"/>
      <c r="G68" s="180"/>
      <c r="H68" s="181"/>
      <c r="I68" s="182" t="s">
        <v>175</v>
      </c>
      <c r="J68" s="136" t="str">
        <f>VLOOKUP(I68, Teams!$P$11:$Q$13, 2, FALSE)</f>
        <v>Richard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43"/>
    </row>
    <row r="69" ht="37.5" customHeight="1">
      <c r="B69" s="144" t="s">
        <v>221</v>
      </c>
      <c r="C69" s="145" t="str">
        <f>C68</f>
        <v>Harish</v>
      </c>
      <c r="D69" s="146"/>
      <c r="E69" s="146"/>
      <c r="F69" s="146"/>
      <c r="G69" s="146"/>
      <c r="H69" s="146"/>
      <c r="I69" s="144" t="s">
        <v>221</v>
      </c>
      <c r="J69" s="145" t="str">
        <f>J68</f>
        <v>Richard</v>
      </c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51"/>
      <c r="W69" s="152"/>
    </row>
    <row r="70" ht="37.5" customHeight="1">
      <c r="B70" s="153"/>
      <c r="C70" s="154" t="str">
        <f>C66</f>
        <v>Farhan</v>
      </c>
      <c r="D70" s="155"/>
      <c r="E70" s="155"/>
      <c r="F70" s="155"/>
      <c r="G70" s="155"/>
      <c r="H70" s="155"/>
      <c r="I70" s="153"/>
      <c r="J70" s="154" t="str">
        <f>J66</f>
        <v>Bo C</v>
      </c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5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</sheetData>
  <mergeCells count="124">
    <mergeCell ref="Q15:Q16"/>
    <mergeCell ref="R15:R16"/>
    <mergeCell ref="Q18:T18"/>
    <mergeCell ref="S20:T20"/>
    <mergeCell ref="U20:V20"/>
    <mergeCell ref="H15:H16"/>
    <mergeCell ref="I15:I16"/>
    <mergeCell ref="B20:H20"/>
    <mergeCell ref="B21:W21"/>
    <mergeCell ref="B22:H22"/>
    <mergeCell ref="I22:O22"/>
    <mergeCell ref="Q22:R22"/>
    <mergeCell ref="R33:R34"/>
    <mergeCell ref="S33:S34"/>
    <mergeCell ref="T33:T34"/>
    <mergeCell ref="U33:U34"/>
    <mergeCell ref="V33:V34"/>
    <mergeCell ref="W33:W34"/>
    <mergeCell ref="Q36:T36"/>
    <mergeCell ref="G33:G34"/>
    <mergeCell ref="H33:H34"/>
    <mergeCell ref="M33:M34"/>
    <mergeCell ref="N33:N34"/>
    <mergeCell ref="O33:O34"/>
    <mergeCell ref="P33:P34"/>
    <mergeCell ref="Q33:Q34"/>
    <mergeCell ref="B2:H2"/>
    <mergeCell ref="J2:L2"/>
    <mergeCell ref="S2:T2"/>
    <mergeCell ref="U2:V2"/>
    <mergeCell ref="B3:W3"/>
    <mergeCell ref="B4:H4"/>
    <mergeCell ref="I4:O4"/>
    <mergeCell ref="U4:V4"/>
    <mergeCell ref="M15:M16"/>
    <mergeCell ref="N15:N16"/>
    <mergeCell ref="O15:O16"/>
    <mergeCell ref="P15:P16"/>
    <mergeCell ref="S15:S16"/>
    <mergeCell ref="T15:T16"/>
    <mergeCell ref="U15:U16"/>
    <mergeCell ref="V15:V16"/>
    <mergeCell ref="W15:W16"/>
    <mergeCell ref="Q4:R4"/>
    <mergeCell ref="S4:T4"/>
    <mergeCell ref="B15:B16"/>
    <mergeCell ref="D15:D16"/>
    <mergeCell ref="E15:E16"/>
    <mergeCell ref="F15:F16"/>
    <mergeCell ref="G15:G16"/>
    <mergeCell ref="S22:T22"/>
    <mergeCell ref="U22:V22"/>
    <mergeCell ref="Q40:R40"/>
    <mergeCell ref="S40:T40"/>
    <mergeCell ref="B38:H38"/>
    <mergeCell ref="J38:L38"/>
    <mergeCell ref="S38:T38"/>
    <mergeCell ref="U38:V38"/>
    <mergeCell ref="B39:W39"/>
    <mergeCell ref="B40:H40"/>
    <mergeCell ref="I40:O40"/>
    <mergeCell ref="U40:V40"/>
    <mergeCell ref="I69:I70"/>
    <mergeCell ref="K69:K70"/>
    <mergeCell ref="G51:G52"/>
    <mergeCell ref="B56:H56"/>
    <mergeCell ref="J56:L56"/>
    <mergeCell ref="B69:B70"/>
    <mergeCell ref="D69:D70"/>
    <mergeCell ref="E69:E70"/>
    <mergeCell ref="F69:F70"/>
    <mergeCell ref="L69:L70"/>
    <mergeCell ref="K15:K16"/>
    <mergeCell ref="L15:L16"/>
    <mergeCell ref="J20:L20"/>
    <mergeCell ref="B33:B34"/>
    <mergeCell ref="D33:D34"/>
    <mergeCell ref="E33:E34"/>
    <mergeCell ref="F33:F34"/>
    <mergeCell ref="L33:L34"/>
    <mergeCell ref="H51:H52"/>
    <mergeCell ref="I51:I52"/>
    <mergeCell ref="L51:L52"/>
    <mergeCell ref="M51:M52"/>
    <mergeCell ref="N51:N52"/>
    <mergeCell ref="O51:O52"/>
    <mergeCell ref="P51:P52"/>
    <mergeCell ref="I33:I34"/>
    <mergeCell ref="K33:K34"/>
    <mergeCell ref="B51:B52"/>
    <mergeCell ref="D51:D52"/>
    <mergeCell ref="E51:E52"/>
    <mergeCell ref="F51:F52"/>
    <mergeCell ref="K51:K52"/>
    <mergeCell ref="Q51:Q52"/>
    <mergeCell ref="R51:R52"/>
    <mergeCell ref="S51:S52"/>
    <mergeCell ref="T51:T52"/>
    <mergeCell ref="U51:U52"/>
    <mergeCell ref="V51:V52"/>
    <mergeCell ref="W51:W52"/>
    <mergeCell ref="S58:T58"/>
    <mergeCell ref="U58:V58"/>
    <mergeCell ref="Q54:T54"/>
    <mergeCell ref="S56:T56"/>
    <mergeCell ref="U56:V56"/>
    <mergeCell ref="B57:W57"/>
    <mergeCell ref="B58:C58"/>
    <mergeCell ref="I58:J58"/>
    <mergeCell ref="Q58:R58"/>
    <mergeCell ref="R69:R70"/>
    <mergeCell ref="S69:S70"/>
    <mergeCell ref="T69:T70"/>
    <mergeCell ref="U69:U70"/>
    <mergeCell ref="V69:V70"/>
    <mergeCell ref="W69:W70"/>
    <mergeCell ref="Q72:T72"/>
    <mergeCell ref="G69:G70"/>
    <mergeCell ref="H69:H70"/>
    <mergeCell ref="M69:M70"/>
    <mergeCell ref="N69:N70"/>
    <mergeCell ref="O69:O70"/>
    <mergeCell ref="P69:P70"/>
    <mergeCell ref="Q69:Q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>
      <c r="B2" s="167" t="s">
        <v>202</v>
      </c>
      <c r="H2" s="96"/>
      <c r="I2" s="168" t="s">
        <v>203</v>
      </c>
      <c r="J2" s="169">
        <v>45966.0</v>
      </c>
      <c r="M2" s="170" t="s">
        <v>204</v>
      </c>
      <c r="N2" s="171">
        <v>4.0</v>
      </c>
      <c r="O2" s="104"/>
      <c r="P2" s="170" t="s">
        <v>205</v>
      </c>
      <c r="Q2" s="172">
        <v>1.0</v>
      </c>
      <c r="R2" s="173"/>
      <c r="S2" s="174"/>
      <c r="U2" s="173"/>
      <c r="W2" s="104"/>
    </row>
    <row r="3">
      <c r="B3" s="104"/>
    </row>
    <row r="4" ht="37.5" customHeight="1">
      <c r="B4" s="106" t="s">
        <v>206</v>
      </c>
      <c r="I4" s="107" t="s">
        <v>227</v>
      </c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Teams!$B$11:$C$13, 2, FALSE)</f>
        <v>Jaydon</v>
      </c>
      <c r="D6" s="175"/>
      <c r="E6" s="175"/>
      <c r="F6" s="175"/>
      <c r="G6" s="175"/>
      <c r="H6" s="176"/>
      <c r="I6" s="177" t="s">
        <v>175</v>
      </c>
      <c r="J6" s="126" t="str">
        <f>VLOOKUP(I6, Teams!$N$11:$O$13, 2, FALSE)</f>
        <v>Bow (R)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89" t="s">
        <v>219</v>
      </c>
    </row>
    <row r="7" ht="60.0" customHeight="1">
      <c r="B7" s="122" t="s">
        <v>175</v>
      </c>
      <c r="C7" s="123" t="str">
        <f>VLOOKUP(B7, Teams!$B$11:$C$13, 2, FALSE)</f>
        <v>Darcy</v>
      </c>
      <c r="D7" s="175"/>
      <c r="E7" s="175"/>
      <c r="F7" s="175"/>
      <c r="G7" s="178"/>
      <c r="H7" s="176"/>
      <c r="I7" s="177" t="s">
        <v>184</v>
      </c>
      <c r="J7" s="126" t="str">
        <f>VLOOKUP(I7, Teams!$N$11:$O$13, 2, FALSE)</f>
        <v>Nathan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89" t="s">
        <v>220</v>
      </c>
    </row>
    <row r="8" ht="60.0" customHeight="1">
      <c r="B8" s="122" t="s">
        <v>184</v>
      </c>
      <c r="C8" s="123" t="str">
        <f>VLOOKUP(B8, Teams!$B$11:$C$13, 2, FALSE)</f>
        <v>Andrew</v>
      </c>
      <c r="D8" s="175"/>
      <c r="E8" s="175"/>
      <c r="F8" s="175"/>
      <c r="G8" s="178"/>
      <c r="H8" s="176"/>
      <c r="I8" s="177" t="s">
        <v>193</v>
      </c>
      <c r="J8" s="126" t="str">
        <f>VLOOKUP(I8, Teams!$N$11:$O$13, 2, FALSE)</f>
        <v>Kyle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89" t="s">
        <v>219</v>
      </c>
    </row>
    <row r="9" ht="60.0" customHeight="1">
      <c r="B9" s="122" t="s">
        <v>193</v>
      </c>
      <c r="C9" s="123" t="str">
        <f>VLOOKUP(B9, Teams!$B$11:$C$13, 2, FALSE)</f>
        <v>Jaydon</v>
      </c>
      <c r="D9" s="175"/>
      <c r="E9" s="175"/>
      <c r="F9" s="175"/>
      <c r="G9" s="178"/>
      <c r="H9" s="176"/>
      <c r="I9" s="177" t="s">
        <v>184</v>
      </c>
      <c r="J9" s="126" t="str">
        <f>VLOOKUP(I9, Teams!$N$11:$O$13, 2, FALSE)</f>
        <v>Nathan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89" t="s">
        <v>220</v>
      </c>
    </row>
    <row r="10" ht="60.0" customHeight="1">
      <c r="B10" s="134" t="s">
        <v>184</v>
      </c>
      <c r="C10" s="123" t="str">
        <f>VLOOKUP(B10, Teams!$B$11:$C$13, 2, FALSE)</f>
        <v>Andrew</v>
      </c>
      <c r="D10" s="175"/>
      <c r="E10" s="175"/>
      <c r="F10" s="175"/>
      <c r="G10" s="178"/>
      <c r="H10" s="176"/>
      <c r="I10" s="177" t="s">
        <v>175</v>
      </c>
      <c r="J10" s="126" t="str">
        <f>VLOOKUP(I10, Teams!$N$11:$O$13, 2, FALSE)</f>
        <v>Bow (R)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89" t="s">
        <v>219</v>
      </c>
    </row>
    <row r="11" ht="60.0" customHeight="1">
      <c r="B11" s="134" t="s">
        <v>175</v>
      </c>
      <c r="C11" s="123" t="str">
        <f>VLOOKUP(B11, Teams!$B$11:$C$13, 2, FALSE)</f>
        <v>Darcy</v>
      </c>
      <c r="D11" s="175"/>
      <c r="E11" s="175"/>
      <c r="F11" s="175"/>
      <c r="G11" s="178"/>
      <c r="H11" s="176"/>
      <c r="I11" s="177" t="s">
        <v>193</v>
      </c>
      <c r="J11" s="126" t="str">
        <f>VLOOKUP(I11, Teams!$N$11:$O$13, 2, FALSE)</f>
        <v>Kyle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89" t="s">
        <v>220</v>
      </c>
    </row>
    <row r="12" ht="60.0" customHeight="1">
      <c r="B12" s="134" t="s">
        <v>184</v>
      </c>
      <c r="C12" s="123" t="str">
        <f>VLOOKUP(B12, Teams!$B$11:$C$13, 2, FALSE)</f>
        <v>Andrew</v>
      </c>
      <c r="D12" s="175"/>
      <c r="E12" s="175"/>
      <c r="F12" s="175"/>
      <c r="G12" s="178"/>
      <c r="H12" s="176"/>
      <c r="I12" s="179" t="s">
        <v>184</v>
      </c>
      <c r="J12" s="126" t="str">
        <f>VLOOKUP(I12, Teams!$N$11:$O$13, 2, FALSE)</f>
        <v>Nathan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89" t="s">
        <v>219</v>
      </c>
    </row>
    <row r="13" ht="60.0" customHeight="1">
      <c r="B13" s="122" t="s">
        <v>193</v>
      </c>
      <c r="C13" s="123" t="str">
        <f>VLOOKUP(B13, Teams!$B$11:$C$13, 2, FALSE)</f>
        <v>Jaydon</v>
      </c>
      <c r="D13" s="175"/>
      <c r="E13" s="175"/>
      <c r="F13" s="175"/>
      <c r="G13" s="178"/>
      <c r="H13" s="176"/>
      <c r="I13" s="177" t="s">
        <v>193</v>
      </c>
      <c r="J13" s="126" t="str">
        <f>VLOOKUP(I13, Teams!$N$11:$O$13, 2, FALSE)</f>
        <v>Kyle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89" t="s">
        <v>220</v>
      </c>
    </row>
    <row r="14" ht="60.0" customHeight="1">
      <c r="B14" s="135" t="s">
        <v>175</v>
      </c>
      <c r="C14" s="136" t="str">
        <f>VLOOKUP(B14, Teams!$B$11:$C$13, 2, FALSE)</f>
        <v>Darcy</v>
      </c>
      <c r="D14" s="180"/>
      <c r="E14" s="180"/>
      <c r="F14" s="180"/>
      <c r="G14" s="180"/>
      <c r="H14" s="181"/>
      <c r="I14" s="182" t="s">
        <v>175</v>
      </c>
      <c r="J14" s="136" t="str">
        <f>VLOOKUP(I14, Teams!$N$11:$O$13, 2, FALSE)</f>
        <v>Bow (R)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90" t="s">
        <v>219</v>
      </c>
    </row>
    <row r="15" ht="37.5" customHeight="1">
      <c r="B15" s="144" t="s">
        <v>221</v>
      </c>
      <c r="C15" s="191" t="str">
        <f>C14</f>
        <v>Darcy</v>
      </c>
      <c r="D15" s="192"/>
      <c r="E15" s="192"/>
      <c r="F15" s="192"/>
      <c r="G15" s="192"/>
      <c r="H15" s="192"/>
      <c r="I15" s="193" t="s">
        <v>221</v>
      </c>
      <c r="J15" s="191" t="str">
        <f>J14</f>
        <v>Bow (R)</v>
      </c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04"/>
      <c r="W15" s="194" t="s">
        <v>236</v>
      </c>
    </row>
    <row r="16" ht="37.5" customHeight="1">
      <c r="B16" s="153"/>
      <c r="C16" s="195" t="str">
        <f>C12</f>
        <v>Andrew</v>
      </c>
      <c r="D16" s="155"/>
      <c r="E16" s="155"/>
      <c r="F16" s="155"/>
      <c r="G16" s="155"/>
      <c r="H16" s="155"/>
      <c r="I16" s="153"/>
      <c r="J16" s="195" t="str">
        <f>J12</f>
        <v>Nathan</v>
      </c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6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5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>
      <c r="B20" s="167" t="s">
        <v>202</v>
      </c>
      <c r="H20" s="96"/>
      <c r="I20" s="168" t="s">
        <v>203</v>
      </c>
      <c r="J20" s="169">
        <v>45945.0</v>
      </c>
      <c r="M20" s="170" t="s">
        <v>204</v>
      </c>
      <c r="N20" s="172">
        <f>N2</f>
        <v>4</v>
      </c>
      <c r="O20" s="104"/>
      <c r="P20" s="170" t="s">
        <v>205</v>
      </c>
      <c r="Q20" s="171">
        <v>2.0</v>
      </c>
      <c r="R20" s="173"/>
      <c r="S20" s="174"/>
      <c r="U20" s="173"/>
      <c r="W20" s="104"/>
    </row>
    <row r="21">
      <c r="B21" s="104"/>
    </row>
    <row r="22" ht="37.5" customHeight="1">
      <c r="B22" s="107" t="s">
        <v>224</v>
      </c>
      <c r="I22" s="107" t="s">
        <v>207</v>
      </c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Teams!$D$11:$E$13, 2, FALSE)</f>
        <v>Peter A</v>
      </c>
      <c r="D24" s="175"/>
      <c r="E24" s="175"/>
      <c r="F24" s="175"/>
      <c r="G24" s="175"/>
      <c r="H24" s="176"/>
      <c r="I24" s="177" t="s">
        <v>175</v>
      </c>
      <c r="J24" s="126" t="str">
        <f>VLOOKUP(I24, Teams!$P$11:$Q$13, 2, FALSE)</f>
        <v>Richard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89" t="s">
        <v>219</v>
      </c>
    </row>
    <row r="25" ht="60.0" customHeight="1">
      <c r="B25" s="122" t="s">
        <v>175</v>
      </c>
      <c r="C25" s="123" t="str">
        <f>VLOOKUP(B25, Teams!$D$11:$E$13, 2, FALSE)</f>
        <v>Peter W</v>
      </c>
      <c r="D25" s="175"/>
      <c r="E25" s="175"/>
      <c r="F25" s="175"/>
      <c r="G25" s="178"/>
      <c r="H25" s="176"/>
      <c r="I25" s="177" t="s">
        <v>184</v>
      </c>
      <c r="J25" s="126" t="str">
        <f>VLOOKUP(I25, Teams!$P$11:$Q$13, 2, FALSE)</f>
        <v>Bo C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89" t="s">
        <v>220</v>
      </c>
    </row>
    <row r="26" ht="60.0" customHeight="1">
      <c r="B26" s="122" t="s">
        <v>184</v>
      </c>
      <c r="C26" s="123" t="str">
        <f>VLOOKUP(B26, Teams!$D$11:$E$13, 2, FALSE)</f>
        <v>Rohit</v>
      </c>
      <c r="D26" s="175"/>
      <c r="E26" s="175"/>
      <c r="F26" s="175"/>
      <c r="G26" s="178"/>
      <c r="H26" s="176"/>
      <c r="I26" s="177" t="s">
        <v>193</v>
      </c>
      <c r="J26" s="126" t="str">
        <f>VLOOKUP(I26, Teams!$P$11:$Q$13, 2, FALSE)</f>
        <v>Peter H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89" t="s">
        <v>219</v>
      </c>
    </row>
    <row r="27" ht="60.0" customHeight="1">
      <c r="B27" s="122" t="s">
        <v>193</v>
      </c>
      <c r="C27" s="123" t="str">
        <f>VLOOKUP(B27, Teams!$D$11:$E$13, 2, FALSE)</f>
        <v>Peter A</v>
      </c>
      <c r="D27" s="175"/>
      <c r="E27" s="175"/>
      <c r="F27" s="175"/>
      <c r="G27" s="178"/>
      <c r="H27" s="176"/>
      <c r="I27" s="177" t="s">
        <v>184</v>
      </c>
      <c r="J27" s="126" t="str">
        <f>VLOOKUP(I27, Teams!$P$11:$Q$13, 2, FALSE)</f>
        <v>Bo C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89" t="s">
        <v>220</v>
      </c>
    </row>
    <row r="28" ht="60.0" customHeight="1">
      <c r="B28" s="134" t="s">
        <v>184</v>
      </c>
      <c r="C28" s="123" t="str">
        <f>VLOOKUP(B28, Teams!$D$11:$E$13, 2, FALSE)</f>
        <v>Rohit</v>
      </c>
      <c r="D28" s="175"/>
      <c r="E28" s="175"/>
      <c r="F28" s="175"/>
      <c r="G28" s="178"/>
      <c r="H28" s="176"/>
      <c r="I28" s="177" t="s">
        <v>175</v>
      </c>
      <c r="J28" s="126" t="str">
        <f>VLOOKUP(I28, Teams!$P$11:$Q$13, 2, FALSE)</f>
        <v>Richard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89" t="s">
        <v>219</v>
      </c>
    </row>
    <row r="29" ht="60.0" customHeight="1">
      <c r="B29" s="134" t="s">
        <v>175</v>
      </c>
      <c r="C29" s="123" t="str">
        <f>VLOOKUP(B29, Teams!$D$11:$E$13, 2, FALSE)</f>
        <v>Peter W</v>
      </c>
      <c r="D29" s="175"/>
      <c r="E29" s="175"/>
      <c r="F29" s="175"/>
      <c r="G29" s="178"/>
      <c r="H29" s="176"/>
      <c r="I29" s="177" t="s">
        <v>193</v>
      </c>
      <c r="J29" s="126" t="str">
        <f>VLOOKUP(I29, Teams!$P$11:$Q$13, 2, FALSE)</f>
        <v>Peter H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89" t="s">
        <v>220</v>
      </c>
    </row>
    <row r="30" ht="60.0" customHeight="1">
      <c r="B30" s="134" t="s">
        <v>184</v>
      </c>
      <c r="C30" s="123" t="str">
        <f>VLOOKUP(B30, Teams!$D$11:$E$13, 2, FALSE)</f>
        <v>Rohit</v>
      </c>
      <c r="D30" s="175"/>
      <c r="E30" s="175"/>
      <c r="F30" s="175"/>
      <c r="G30" s="178"/>
      <c r="H30" s="176"/>
      <c r="I30" s="179" t="s">
        <v>184</v>
      </c>
      <c r="J30" s="126" t="str">
        <f>VLOOKUP(I30, Teams!$P$11:$Q$13, 2, FALSE)</f>
        <v>Bo C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89" t="s">
        <v>219</v>
      </c>
    </row>
    <row r="31" ht="60.0" customHeight="1">
      <c r="B31" s="122" t="s">
        <v>193</v>
      </c>
      <c r="C31" s="123" t="str">
        <f>VLOOKUP(B31, Teams!$D$11:$E$13, 2, FALSE)</f>
        <v>Peter A</v>
      </c>
      <c r="D31" s="175"/>
      <c r="E31" s="175"/>
      <c r="F31" s="175"/>
      <c r="G31" s="178"/>
      <c r="H31" s="176"/>
      <c r="I31" s="177" t="s">
        <v>193</v>
      </c>
      <c r="J31" s="126" t="str">
        <f>VLOOKUP(I31, Teams!$P$11:$Q$13, 2, FALSE)</f>
        <v>Peter H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89" t="s">
        <v>220</v>
      </c>
    </row>
    <row r="32" ht="60.0" customHeight="1">
      <c r="B32" s="135" t="s">
        <v>175</v>
      </c>
      <c r="C32" s="136" t="str">
        <f>VLOOKUP(B32, Teams!$D$11:$E$13, 2, FALSE)</f>
        <v>Peter W</v>
      </c>
      <c r="D32" s="180"/>
      <c r="E32" s="180"/>
      <c r="F32" s="180"/>
      <c r="G32" s="180"/>
      <c r="H32" s="181"/>
      <c r="I32" s="182" t="s">
        <v>175</v>
      </c>
      <c r="J32" s="136" t="str">
        <f>VLOOKUP(I32, Teams!$P$11:$Q$13, 2, FALSE)</f>
        <v>Richard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90" t="s">
        <v>219</v>
      </c>
    </row>
    <row r="33" ht="37.5" customHeight="1">
      <c r="B33" s="144" t="s">
        <v>221</v>
      </c>
      <c r="C33" s="145" t="str">
        <f>C32</f>
        <v>Peter W</v>
      </c>
      <c r="D33" s="146"/>
      <c r="E33" s="146"/>
      <c r="F33" s="146"/>
      <c r="G33" s="146"/>
      <c r="H33" s="146"/>
      <c r="I33" s="144" t="s">
        <v>221</v>
      </c>
      <c r="J33" s="196" t="str">
        <f>J32</f>
        <v>Richard</v>
      </c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04"/>
      <c r="W33" s="194" t="s">
        <v>236</v>
      </c>
    </row>
    <row r="34" ht="37.5" customHeight="1">
      <c r="B34" s="153"/>
      <c r="C34" s="154" t="str">
        <f>C30</f>
        <v>Rohit</v>
      </c>
      <c r="D34" s="155"/>
      <c r="E34" s="155"/>
      <c r="F34" s="155"/>
      <c r="G34" s="155"/>
      <c r="H34" s="155"/>
      <c r="I34" s="153"/>
      <c r="J34" s="197" t="str">
        <f>J30</f>
        <v>Bo C</v>
      </c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6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B38" s="167" t="s">
        <v>202</v>
      </c>
      <c r="H38" s="96"/>
      <c r="I38" s="168" t="s">
        <v>203</v>
      </c>
      <c r="J38" s="169">
        <v>45945.0</v>
      </c>
      <c r="M38" s="170" t="s">
        <v>204</v>
      </c>
      <c r="N38" s="172">
        <f>N2</f>
        <v>4</v>
      </c>
      <c r="O38" s="104"/>
      <c r="P38" s="170" t="s">
        <v>205</v>
      </c>
      <c r="Q38" s="171">
        <v>3.0</v>
      </c>
      <c r="R38" s="173"/>
      <c r="S38" s="174"/>
      <c r="U38" s="173"/>
      <c r="W38" s="104"/>
    </row>
    <row r="39">
      <c r="B39" s="104"/>
    </row>
    <row r="40" ht="37.5" customHeight="1">
      <c r="B40" s="107" t="s">
        <v>231</v>
      </c>
      <c r="I40" s="107" t="s">
        <v>229</v>
      </c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83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77" t="s">
        <v>193</v>
      </c>
      <c r="C42" s="123" t="str">
        <f>VLOOKUP(B42, Teams!$F$11:$G$13, 2, FALSE)</f>
        <v>Tilly (R)</v>
      </c>
      <c r="D42" s="175"/>
      <c r="E42" s="175"/>
      <c r="F42" s="175"/>
      <c r="G42" s="175"/>
      <c r="H42" s="176"/>
      <c r="I42" s="177" t="s">
        <v>175</v>
      </c>
      <c r="J42" s="123" t="str">
        <f>VLOOKUP(I42, Teams!$J$11:$K$13, 2, FALSE)</f>
        <v>Aarya (R)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89" t="s">
        <v>219</v>
      </c>
    </row>
    <row r="43" ht="60.0" customHeight="1">
      <c r="B43" s="177" t="s">
        <v>175</v>
      </c>
      <c r="C43" s="123" t="str">
        <f>VLOOKUP(B43, Teams!$F$11:$G$13, 2, FALSE)</f>
        <v>Dheep</v>
      </c>
      <c r="D43" s="175"/>
      <c r="E43" s="175"/>
      <c r="F43" s="175"/>
      <c r="G43" s="178"/>
      <c r="H43" s="176"/>
      <c r="I43" s="177" t="s">
        <v>184</v>
      </c>
      <c r="J43" s="123" t="str">
        <f>VLOOKUP(I43, Teams!$J$11:$K$13, 2, FALSE)</f>
        <v>John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89" t="s">
        <v>220</v>
      </c>
    </row>
    <row r="44" ht="60.0" customHeight="1">
      <c r="B44" s="177" t="s">
        <v>184</v>
      </c>
      <c r="C44" s="186" t="str">
        <f>VLOOKUP(B44, Teams!$F$11:$G$13, 2, FALSE)</f>
        <v>Reece</v>
      </c>
      <c r="D44" s="175"/>
      <c r="E44" s="175"/>
      <c r="F44" s="175"/>
      <c r="G44" s="178"/>
      <c r="H44" s="176"/>
      <c r="I44" s="177" t="s">
        <v>193</v>
      </c>
      <c r="J44" s="123" t="str">
        <f>VLOOKUP(I44, Teams!$J$11:$K$13, 2, FALSE)</f>
        <v>Angela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89" t="s">
        <v>219</v>
      </c>
    </row>
    <row r="45" ht="60.0" customHeight="1">
      <c r="B45" s="177" t="s">
        <v>193</v>
      </c>
      <c r="C45" s="198" t="str">
        <f>VLOOKUP(B45, Teams!$F$11:$G$13, 2, FALSE)</f>
        <v>Tilly (R)</v>
      </c>
      <c r="D45" s="175"/>
      <c r="E45" s="175"/>
      <c r="F45" s="175"/>
      <c r="G45" s="178"/>
      <c r="H45" s="176"/>
      <c r="I45" s="177" t="s">
        <v>184</v>
      </c>
      <c r="J45" s="123" t="str">
        <f>VLOOKUP(I45, Teams!$J$11:$K$13, 2, FALSE)</f>
        <v>John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89" t="s">
        <v>220</v>
      </c>
    </row>
    <row r="46" ht="60.0" customHeight="1">
      <c r="B46" s="179" t="s">
        <v>184</v>
      </c>
      <c r="C46" s="198" t="str">
        <f>VLOOKUP(B46, Teams!$F$11:$G$13, 2, FALSE)</f>
        <v>Reece</v>
      </c>
      <c r="D46" s="175"/>
      <c r="E46" s="175"/>
      <c r="F46" s="175"/>
      <c r="G46" s="178"/>
      <c r="H46" s="176"/>
      <c r="I46" s="177" t="s">
        <v>175</v>
      </c>
      <c r="J46" s="123" t="str">
        <f>VLOOKUP(I46, Teams!$J$11:$K$13, 2, FALSE)</f>
        <v>Aarya (R)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89" t="s">
        <v>219</v>
      </c>
    </row>
    <row r="47" ht="60.0" customHeight="1">
      <c r="B47" s="179" t="s">
        <v>175</v>
      </c>
      <c r="C47" s="186" t="str">
        <f>VLOOKUP(B47, Teams!$F$11:$G$13, 2, FALSE)</f>
        <v>Dheep</v>
      </c>
      <c r="D47" s="175"/>
      <c r="E47" s="175"/>
      <c r="F47" s="175"/>
      <c r="G47" s="178"/>
      <c r="H47" s="176"/>
      <c r="I47" s="177" t="s">
        <v>193</v>
      </c>
      <c r="J47" s="123" t="str">
        <f>VLOOKUP(I47, Teams!$J$11:$K$13, 2, FALSE)</f>
        <v>Angela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89" t="s">
        <v>220</v>
      </c>
    </row>
    <row r="48" ht="60.0" customHeight="1">
      <c r="B48" s="179" t="s">
        <v>184</v>
      </c>
      <c r="C48" s="123" t="str">
        <f>VLOOKUP(B48, Teams!$F$11:$G$13, 2, FALSE)</f>
        <v>Reece</v>
      </c>
      <c r="D48" s="175"/>
      <c r="E48" s="175"/>
      <c r="F48" s="175"/>
      <c r="G48" s="178"/>
      <c r="H48" s="176"/>
      <c r="I48" s="179" t="s">
        <v>184</v>
      </c>
      <c r="J48" s="123" t="str">
        <f>VLOOKUP(I48, Teams!$J$11:$K$13, 2, FALSE)</f>
        <v>John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89" t="s">
        <v>219</v>
      </c>
    </row>
    <row r="49" ht="60.0" customHeight="1">
      <c r="B49" s="177" t="s">
        <v>193</v>
      </c>
      <c r="C49" s="123" t="str">
        <f>VLOOKUP(B49, Teams!$F$11:$G$13, 2, FALSE)</f>
        <v>Tilly (R)</v>
      </c>
      <c r="D49" s="175"/>
      <c r="E49" s="175"/>
      <c r="F49" s="175"/>
      <c r="G49" s="178"/>
      <c r="H49" s="176"/>
      <c r="I49" s="177" t="s">
        <v>193</v>
      </c>
      <c r="J49" s="123" t="str">
        <f>VLOOKUP(I49, Teams!$J$11:$K$13, 2, FALSE)</f>
        <v>Angela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89" t="s">
        <v>220</v>
      </c>
    </row>
    <row r="50" ht="60.0" customHeight="1">
      <c r="B50" s="182" t="s">
        <v>175</v>
      </c>
      <c r="C50" s="136" t="str">
        <f>VLOOKUP(B50, Teams!$F$11:$G$13, 2, FALSE)</f>
        <v>Dheep</v>
      </c>
      <c r="D50" s="180"/>
      <c r="E50" s="180"/>
      <c r="F50" s="180"/>
      <c r="G50" s="180"/>
      <c r="H50" s="181"/>
      <c r="I50" s="182" t="s">
        <v>175</v>
      </c>
      <c r="J50" s="136" t="str">
        <f>VLOOKUP(I50, Teams!$J$11:$K$13, 2, FALSE)</f>
        <v>Aarya (R)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90" t="s">
        <v>219</v>
      </c>
    </row>
    <row r="51" ht="37.5" customHeight="1">
      <c r="B51" s="188" t="s">
        <v>221</v>
      </c>
      <c r="C51" s="196" t="str">
        <f>C50</f>
        <v>Dheep</v>
      </c>
      <c r="D51" s="199"/>
      <c r="E51" s="199"/>
      <c r="F51" s="199"/>
      <c r="G51" s="199"/>
      <c r="H51" s="199"/>
      <c r="I51" s="200" t="s">
        <v>221</v>
      </c>
      <c r="J51" s="196" t="str">
        <f>J50</f>
        <v>Aarya (R)</v>
      </c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04"/>
      <c r="W51" s="194" t="s">
        <v>236</v>
      </c>
    </row>
    <row r="52" ht="37.5" customHeight="1">
      <c r="B52" s="153"/>
      <c r="C52" s="197" t="str">
        <f>C48</f>
        <v>Reece</v>
      </c>
      <c r="D52" s="155"/>
      <c r="E52" s="155"/>
      <c r="F52" s="155"/>
      <c r="G52" s="155"/>
      <c r="H52" s="155"/>
      <c r="I52" s="153"/>
      <c r="J52" s="197" t="str">
        <f>J48</f>
        <v>John</v>
      </c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6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3.0" customHeight="1"/>
    <row r="56">
      <c r="B56" s="167" t="s">
        <v>202</v>
      </c>
      <c r="H56" s="96"/>
      <c r="I56" s="168" t="s">
        <v>203</v>
      </c>
      <c r="J56" s="169">
        <v>45945.0</v>
      </c>
      <c r="M56" s="170" t="s">
        <v>204</v>
      </c>
      <c r="N56" s="172">
        <f>N2</f>
        <v>4</v>
      </c>
      <c r="O56" s="104"/>
      <c r="P56" s="170" t="s">
        <v>205</v>
      </c>
      <c r="Q56" s="171">
        <v>4.0</v>
      </c>
      <c r="R56" s="173"/>
      <c r="S56" s="174"/>
      <c r="U56" s="173"/>
      <c r="W56" s="104"/>
    </row>
    <row r="57">
      <c r="B57" s="104"/>
    </row>
    <row r="58" ht="37.5" customHeight="1">
      <c r="B58" s="107" t="s">
        <v>228</v>
      </c>
      <c r="D58" s="101"/>
      <c r="E58" s="101"/>
      <c r="F58" s="101"/>
      <c r="G58" s="101"/>
      <c r="H58" s="101"/>
      <c r="I58" s="107" t="s">
        <v>234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Teams!$H$11:$I$13, 2, FALSE)</f>
        <v>Simon</v>
      </c>
      <c r="D60" s="124"/>
      <c r="E60" s="124"/>
      <c r="F60" s="124"/>
      <c r="G60" s="124"/>
      <c r="H60" s="125"/>
      <c r="I60" s="122" t="s">
        <v>175</v>
      </c>
      <c r="J60" s="126" t="str">
        <f>VLOOKUP(I60, Teams!$L$11:$M$13, 2, FALSE)</f>
        <v>Mick R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89" t="s">
        <v>219</v>
      </c>
    </row>
    <row r="61" ht="60.0" customHeight="1">
      <c r="B61" s="122" t="s">
        <v>175</v>
      </c>
      <c r="C61" s="123" t="str">
        <f>VLOOKUP(B61, Teams!$H$11:$I$13, 2, FALSE)</f>
        <v>Harish</v>
      </c>
      <c r="D61" s="124"/>
      <c r="E61" s="124"/>
      <c r="F61" s="124"/>
      <c r="G61" s="131"/>
      <c r="H61" s="125"/>
      <c r="I61" s="122" t="s">
        <v>184</v>
      </c>
      <c r="J61" s="126" t="str">
        <f>VLOOKUP(I61, Teams!$L$11:$M$13, 2, FALSE)</f>
        <v>Paula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89" t="s">
        <v>220</v>
      </c>
    </row>
    <row r="62" ht="60.0" customHeight="1">
      <c r="B62" s="122" t="s">
        <v>184</v>
      </c>
      <c r="C62" s="123" t="str">
        <f>VLOOKUP(B62, Teams!$H$11:$I$13, 2, FALSE)</f>
        <v>Farhan</v>
      </c>
      <c r="D62" s="124"/>
      <c r="E62" s="124"/>
      <c r="F62" s="124"/>
      <c r="G62" s="131"/>
      <c r="H62" s="125"/>
      <c r="I62" s="122" t="s">
        <v>193</v>
      </c>
      <c r="J62" s="126" t="str">
        <f>VLOOKUP(I62, Teams!$L$11:$M$13, 2, FALSE)</f>
        <v>Michael C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89" t="s">
        <v>219</v>
      </c>
    </row>
    <row r="63" ht="60.0" customHeight="1">
      <c r="B63" s="122" t="s">
        <v>193</v>
      </c>
      <c r="C63" s="123" t="str">
        <f>VLOOKUP(B63, Teams!$H$11:$I$13, 2, FALSE)</f>
        <v>Simon</v>
      </c>
      <c r="D63" s="124"/>
      <c r="E63" s="124"/>
      <c r="F63" s="124"/>
      <c r="G63" s="131"/>
      <c r="H63" s="125"/>
      <c r="I63" s="122" t="s">
        <v>184</v>
      </c>
      <c r="J63" s="126" t="str">
        <f>VLOOKUP(I63, Teams!$L$11:$M$13, 2, FALSE)</f>
        <v>Paula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89" t="s">
        <v>220</v>
      </c>
    </row>
    <row r="64" ht="60.0" customHeight="1">
      <c r="B64" s="134" t="s">
        <v>184</v>
      </c>
      <c r="C64" s="123" t="str">
        <f>VLOOKUP(B64, Teams!$H$11:$I$13, 2, FALSE)</f>
        <v>Farhan</v>
      </c>
      <c r="D64" s="124"/>
      <c r="E64" s="124"/>
      <c r="F64" s="124"/>
      <c r="G64" s="131"/>
      <c r="H64" s="125"/>
      <c r="I64" s="122" t="s">
        <v>175</v>
      </c>
      <c r="J64" s="126" t="str">
        <f>VLOOKUP(I64, Teams!$L$11:$M$13, 2, FALSE)</f>
        <v>Mick R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89" t="s">
        <v>219</v>
      </c>
    </row>
    <row r="65" ht="60.0" customHeight="1">
      <c r="B65" s="134" t="s">
        <v>175</v>
      </c>
      <c r="C65" s="123" t="str">
        <f>VLOOKUP(B65, Teams!$H$11:$I$13, 2, FALSE)</f>
        <v>Harish</v>
      </c>
      <c r="D65" s="124"/>
      <c r="E65" s="124"/>
      <c r="F65" s="124"/>
      <c r="G65" s="131"/>
      <c r="H65" s="125"/>
      <c r="I65" s="122" t="s">
        <v>193</v>
      </c>
      <c r="J65" s="126" t="str">
        <f>VLOOKUP(I65, Teams!$L$11:$M$13, 2, FALSE)</f>
        <v>Michael C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89" t="s">
        <v>220</v>
      </c>
    </row>
    <row r="66" ht="60.0" customHeight="1">
      <c r="B66" s="134" t="s">
        <v>184</v>
      </c>
      <c r="C66" s="123" t="str">
        <f>VLOOKUP(B66, Teams!$H$11:$I$13, 2, FALSE)</f>
        <v>Farhan</v>
      </c>
      <c r="D66" s="124"/>
      <c r="E66" s="124"/>
      <c r="F66" s="124"/>
      <c r="G66" s="131"/>
      <c r="H66" s="125"/>
      <c r="I66" s="134" t="s">
        <v>184</v>
      </c>
      <c r="J66" s="126" t="str">
        <f>VLOOKUP(I66, Teams!$L$11:$M$13, 2, FALSE)</f>
        <v>Paula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89" t="s">
        <v>219</v>
      </c>
    </row>
    <row r="67" ht="60.0" customHeight="1">
      <c r="B67" s="122" t="s">
        <v>193</v>
      </c>
      <c r="C67" s="123" t="str">
        <f>VLOOKUP(B67, Teams!$H$11:$I$13, 2, FALSE)</f>
        <v>Simon</v>
      </c>
      <c r="D67" s="124"/>
      <c r="E67" s="124"/>
      <c r="F67" s="124"/>
      <c r="G67" s="131"/>
      <c r="H67" s="125"/>
      <c r="I67" s="122" t="s">
        <v>193</v>
      </c>
      <c r="J67" s="126" t="str">
        <f>VLOOKUP(I67, Teams!$L$11:$M$13, 2, FALSE)</f>
        <v>Michael C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89" t="s">
        <v>220</v>
      </c>
    </row>
    <row r="68" ht="60.0" customHeight="1">
      <c r="B68" s="135" t="s">
        <v>175</v>
      </c>
      <c r="C68" s="136" t="str">
        <f>VLOOKUP(B68, Teams!$H$11:$I$13, 2, FALSE)</f>
        <v>Harish</v>
      </c>
      <c r="D68" s="180"/>
      <c r="E68" s="180"/>
      <c r="F68" s="180"/>
      <c r="G68" s="180"/>
      <c r="H68" s="181"/>
      <c r="I68" s="182" t="s">
        <v>175</v>
      </c>
      <c r="J68" s="136" t="str">
        <f>VLOOKUP(I68, Teams!$L$11:$M$13, 2, FALSE)</f>
        <v>Mick R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90" t="s">
        <v>219</v>
      </c>
    </row>
    <row r="69" ht="37.5" customHeight="1">
      <c r="B69" s="144" t="s">
        <v>221</v>
      </c>
      <c r="C69" s="196" t="str">
        <f>C68</f>
        <v>Harish</v>
      </c>
      <c r="D69" s="199"/>
      <c r="E69" s="199"/>
      <c r="F69" s="199"/>
      <c r="G69" s="199"/>
      <c r="H69" s="199"/>
      <c r="I69" s="200" t="s">
        <v>221</v>
      </c>
      <c r="J69" s="196" t="str">
        <f>J68</f>
        <v>Mick R</v>
      </c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04"/>
      <c r="W69" s="194" t="s">
        <v>236</v>
      </c>
    </row>
    <row r="70" ht="37.5" customHeight="1">
      <c r="B70" s="153"/>
      <c r="C70" s="197" t="str">
        <f>C66</f>
        <v>Farhan</v>
      </c>
      <c r="D70" s="155"/>
      <c r="E70" s="155"/>
      <c r="F70" s="155"/>
      <c r="G70" s="155"/>
      <c r="H70" s="155"/>
      <c r="I70" s="153"/>
      <c r="J70" s="197" t="str">
        <f>J66</f>
        <v>Paula</v>
      </c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6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  <row r="73" ht="33.0" customHeight="1"/>
  </sheetData>
  <mergeCells count="124">
    <mergeCell ref="Q15:Q16"/>
    <mergeCell ref="R15:R16"/>
    <mergeCell ref="Q18:T18"/>
    <mergeCell ref="S20:T20"/>
    <mergeCell ref="U20:V20"/>
    <mergeCell ref="H15:H16"/>
    <mergeCell ref="I15:I16"/>
    <mergeCell ref="B20:H20"/>
    <mergeCell ref="B21:W21"/>
    <mergeCell ref="B22:H22"/>
    <mergeCell ref="I22:O22"/>
    <mergeCell ref="Q22:R22"/>
    <mergeCell ref="R33:R34"/>
    <mergeCell ref="S33:S34"/>
    <mergeCell ref="T33:T34"/>
    <mergeCell ref="U33:U34"/>
    <mergeCell ref="V33:V34"/>
    <mergeCell ref="W33:W34"/>
    <mergeCell ref="Q36:T36"/>
    <mergeCell ref="G33:G34"/>
    <mergeCell ref="H33:H34"/>
    <mergeCell ref="M33:M34"/>
    <mergeCell ref="N33:N34"/>
    <mergeCell ref="O33:O34"/>
    <mergeCell ref="P33:P34"/>
    <mergeCell ref="Q33:Q34"/>
    <mergeCell ref="B2:H2"/>
    <mergeCell ref="J2:L2"/>
    <mergeCell ref="S2:T2"/>
    <mergeCell ref="U2:V2"/>
    <mergeCell ref="B3:W3"/>
    <mergeCell ref="B4:H4"/>
    <mergeCell ref="I4:O4"/>
    <mergeCell ref="U4:V4"/>
    <mergeCell ref="M15:M16"/>
    <mergeCell ref="N15:N16"/>
    <mergeCell ref="O15:O16"/>
    <mergeCell ref="P15:P16"/>
    <mergeCell ref="S15:S16"/>
    <mergeCell ref="T15:T16"/>
    <mergeCell ref="U15:U16"/>
    <mergeCell ref="V15:V16"/>
    <mergeCell ref="W15:W16"/>
    <mergeCell ref="Q4:R4"/>
    <mergeCell ref="S4:T4"/>
    <mergeCell ref="B15:B16"/>
    <mergeCell ref="D15:D16"/>
    <mergeCell ref="E15:E16"/>
    <mergeCell ref="F15:F16"/>
    <mergeCell ref="G15:G16"/>
    <mergeCell ref="S22:T22"/>
    <mergeCell ref="U22:V22"/>
    <mergeCell ref="Q40:R40"/>
    <mergeCell ref="S40:T40"/>
    <mergeCell ref="B38:H38"/>
    <mergeCell ref="J38:L38"/>
    <mergeCell ref="S38:T38"/>
    <mergeCell ref="U38:V38"/>
    <mergeCell ref="B39:W39"/>
    <mergeCell ref="B40:H40"/>
    <mergeCell ref="I40:O40"/>
    <mergeCell ref="U40:V40"/>
    <mergeCell ref="I69:I70"/>
    <mergeCell ref="K69:K70"/>
    <mergeCell ref="G51:G52"/>
    <mergeCell ref="B56:H56"/>
    <mergeCell ref="J56:L56"/>
    <mergeCell ref="B69:B70"/>
    <mergeCell ref="D69:D70"/>
    <mergeCell ref="E69:E70"/>
    <mergeCell ref="F69:F70"/>
    <mergeCell ref="L69:L70"/>
    <mergeCell ref="K15:K16"/>
    <mergeCell ref="L15:L16"/>
    <mergeCell ref="J20:L20"/>
    <mergeCell ref="B33:B34"/>
    <mergeCell ref="D33:D34"/>
    <mergeCell ref="E33:E34"/>
    <mergeCell ref="F33:F34"/>
    <mergeCell ref="L33:L34"/>
    <mergeCell ref="H51:H52"/>
    <mergeCell ref="I51:I52"/>
    <mergeCell ref="L51:L52"/>
    <mergeCell ref="M51:M52"/>
    <mergeCell ref="N51:N52"/>
    <mergeCell ref="O51:O52"/>
    <mergeCell ref="P51:P52"/>
    <mergeCell ref="I33:I34"/>
    <mergeCell ref="K33:K34"/>
    <mergeCell ref="B51:B52"/>
    <mergeCell ref="D51:D52"/>
    <mergeCell ref="E51:E52"/>
    <mergeCell ref="F51:F52"/>
    <mergeCell ref="K51:K52"/>
    <mergeCell ref="Q51:Q52"/>
    <mergeCell ref="R51:R52"/>
    <mergeCell ref="S51:S52"/>
    <mergeCell ref="T51:T52"/>
    <mergeCell ref="U51:U52"/>
    <mergeCell ref="V51:V52"/>
    <mergeCell ref="W51:W52"/>
    <mergeCell ref="S58:T58"/>
    <mergeCell ref="U58:V58"/>
    <mergeCell ref="Q54:T54"/>
    <mergeCell ref="S56:T56"/>
    <mergeCell ref="U56:V56"/>
    <mergeCell ref="B57:W57"/>
    <mergeCell ref="B58:C58"/>
    <mergeCell ref="I58:J58"/>
    <mergeCell ref="Q58:R58"/>
    <mergeCell ref="R69:R70"/>
    <mergeCell ref="S69:S70"/>
    <mergeCell ref="T69:T70"/>
    <mergeCell ref="U69:U70"/>
    <mergeCell ref="V69:V70"/>
    <mergeCell ref="W69:W70"/>
    <mergeCell ref="Q72:T72"/>
    <mergeCell ref="G69:G70"/>
    <mergeCell ref="H69:H70"/>
    <mergeCell ref="M69:M70"/>
    <mergeCell ref="N69:N70"/>
    <mergeCell ref="O69:O70"/>
    <mergeCell ref="P69:P70"/>
    <mergeCell ref="Q69:Q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>
      <c r="B2" s="167" t="s">
        <v>202</v>
      </c>
      <c r="H2" s="96"/>
      <c r="I2" s="168" t="s">
        <v>203</v>
      </c>
      <c r="J2" s="169">
        <v>45973.0</v>
      </c>
      <c r="M2" s="170" t="s">
        <v>204</v>
      </c>
      <c r="N2" s="171">
        <v>5.0</v>
      </c>
      <c r="O2" s="104"/>
      <c r="P2" s="170" t="s">
        <v>205</v>
      </c>
      <c r="Q2" s="172">
        <v>1.0</v>
      </c>
      <c r="R2" s="173"/>
      <c r="S2" s="174"/>
      <c r="U2" s="173"/>
      <c r="W2" s="104"/>
    </row>
    <row r="3">
      <c r="B3" s="104"/>
    </row>
    <row r="4" ht="37.5" customHeight="1">
      <c r="B4" s="106" t="s">
        <v>206</v>
      </c>
      <c r="I4" s="107" t="s">
        <v>232</v>
      </c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Teams!$B$11:$C$13, 2, FALSE)</f>
        <v>Jaydon</v>
      </c>
      <c r="D6" s="175"/>
      <c r="E6" s="175"/>
      <c r="F6" s="175"/>
      <c r="G6" s="175"/>
      <c r="H6" s="176"/>
      <c r="I6" s="177" t="s">
        <v>175</v>
      </c>
      <c r="J6" s="126" t="str">
        <f>VLOOKUP(I6, Teams!$H$11:$I$13, 2, FALSE)</f>
        <v>Harish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89" t="s">
        <v>219</v>
      </c>
    </row>
    <row r="7" ht="60.0" customHeight="1">
      <c r="B7" s="122" t="s">
        <v>175</v>
      </c>
      <c r="C7" s="123" t="str">
        <f>VLOOKUP(B7, Teams!$B$11:$C$13, 2, FALSE)</f>
        <v>Darcy</v>
      </c>
      <c r="D7" s="175"/>
      <c r="E7" s="175"/>
      <c r="F7" s="175"/>
      <c r="G7" s="178"/>
      <c r="H7" s="176"/>
      <c r="I7" s="177" t="s">
        <v>184</v>
      </c>
      <c r="J7" s="126" t="str">
        <f>VLOOKUP(I7, Teams!$H$11:$I$13, 2, FALSE)</f>
        <v>Farhan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89" t="s">
        <v>220</v>
      </c>
    </row>
    <row r="8" ht="60.0" customHeight="1">
      <c r="B8" s="122" t="s">
        <v>184</v>
      </c>
      <c r="C8" s="123" t="str">
        <f>VLOOKUP(B8, Teams!$B$11:$C$13, 2, FALSE)</f>
        <v>Andrew</v>
      </c>
      <c r="D8" s="175"/>
      <c r="E8" s="175"/>
      <c r="F8" s="175"/>
      <c r="G8" s="178"/>
      <c r="H8" s="176"/>
      <c r="I8" s="177" t="s">
        <v>193</v>
      </c>
      <c r="J8" s="126" t="str">
        <f>VLOOKUP(I8, Teams!$H$11:$I$13, 2, FALSE)</f>
        <v>Simon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89" t="s">
        <v>219</v>
      </c>
    </row>
    <row r="9" ht="60.0" customHeight="1">
      <c r="B9" s="122" t="s">
        <v>193</v>
      </c>
      <c r="C9" s="123" t="str">
        <f>VLOOKUP(B9, Teams!$B$11:$C$13, 2, FALSE)</f>
        <v>Jaydon</v>
      </c>
      <c r="D9" s="175"/>
      <c r="E9" s="175"/>
      <c r="F9" s="175"/>
      <c r="G9" s="178"/>
      <c r="H9" s="176"/>
      <c r="I9" s="177" t="s">
        <v>184</v>
      </c>
      <c r="J9" s="126" t="str">
        <f>VLOOKUP(I9, Teams!$H$11:$I$13, 2, FALSE)</f>
        <v>Farhan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89" t="s">
        <v>220</v>
      </c>
    </row>
    <row r="10" ht="60.0" customHeight="1">
      <c r="B10" s="134" t="s">
        <v>184</v>
      </c>
      <c r="C10" s="123" t="str">
        <f>VLOOKUP(B10, Teams!$B$11:$C$13, 2, FALSE)</f>
        <v>Andrew</v>
      </c>
      <c r="D10" s="175"/>
      <c r="E10" s="175"/>
      <c r="F10" s="175"/>
      <c r="G10" s="178"/>
      <c r="H10" s="176"/>
      <c r="I10" s="177" t="s">
        <v>175</v>
      </c>
      <c r="J10" s="126" t="str">
        <f>VLOOKUP(I10, Teams!$H$11:$I$13, 2, FALSE)</f>
        <v>Harish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89" t="s">
        <v>219</v>
      </c>
    </row>
    <row r="11" ht="60.0" customHeight="1">
      <c r="B11" s="134" t="s">
        <v>175</v>
      </c>
      <c r="C11" s="123" t="str">
        <f>VLOOKUP(B11, Teams!$B$11:$C$13, 2, FALSE)</f>
        <v>Darcy</v>
      </c>
      <c r="D11" s="175"/>
      <c r="E11" s="175"/>
      <c r="F11" s="175"/>
      <c r="G11" s="178"/>
      <c r="H11" s="176"/>
      <c r="I11" s="177" t="s">
        <v>193</v>
      </c>
      <c r="J11" s="126" t="str">
        <f>VLOOKUP(I11, Teams!$H$11:$I$13, 2, FALSE)</f>
        <v>Simon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89" t="s">
        <v>220</v>
      </c>
    </row>
    <row r="12" ht="60.0" customHeight="1">
      <c r="B12" s="134" t="s">
        <v>184</v>
      </c>
      <c r="C12" s="123" t="str">
        <f>VLOOKUP(B12, Teams!$B$11:$C$13, 2, FALSE)</f>
        <v>Andrew</v>
      </c>
      <c r="D12" s="175"/>
      <c r="E12" s="175"/>
      <c r="F12" s="175"/>
      <c r="G12" s="178"/>
      <c r="H12" s="176"/>
      <c r="I12" s="179" t="s">
        <v>184</v>
      </c>
      <c r="J12" s="126" t="str">
        <f>VLOOKUP(I12, Teams!$H$11:$I$13, 2, FALSE)</f>
        <v>Farhan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89" t="s">
        <v>219</v>
      </c>
    </row>
    <row r="13" ht="60.0" customHeight="1">
      <c r="B13" s="122" t="s">
        <v>193</v>
      </c>
      <c r="C13" s="123" t="str">
        <f>VLOOKUP(B13, Teams!$B$11:$C$13, 2, FALSE)</f>
        <v>Jaydon</v>
      </c>
      <c r="D13" s="175"/>
      <c r="E13" s="175"/>
      <c r="F13" s="175"/>
      <c r="G13" s="178"/>
      <c r="H13" s="176"/>
      <c r="I13" s="177" t="s">
        <v>193</v>
      </c>
      <c r="J13" s="126" t="str">
        <f>VLOOKUP(I13, Teams!$H$11:$I$13, 2, FALSE)</f>
        <v>Simon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89" t="s">
        <v>220</v>
      </c>
    </row>
    <row r="14" ht="60.0" customHeight="1">
      <c r="B14" s="135" t="s">
        <v>175</v>
      </c>
      <c r="C14" s="136" t="str">
        <f>VLOOKUP(B14, Teams!$B$11:$C$13, 2, FALSE)</f>
        <v>Darcy</v>
      </c>
      <c r="D14" s="180"/>
      <c r="E14" s="180"/>
      <c r="F14" s="180"/>
      <c r="G14" s="180"/>
      <c r="H14" s="181"/>
      <c r="I14" s="182" t="s">
        <v>175</v>
      </c>
      <c r="J14" s="136" t="str">
        <f>VLOOKUP(I14, Teams!$H$11:$I$13, 2, FALSE)</f>
        <v>Harish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90" t="s">
        <v>219</v>
      </c>
    </row>
    <row r="15" ht="37.5" customHeight="1">
      <c r="B15" s="144" t="s">
        <v>221</v>
      </c>
      <c r="C15" s="196" t="str">
        <f>C14</f>
        <v>Darcy</v>
      </c>
      <c r="D15" s="192"/>
      <c r="E15" s="192"/>
      <c r="F15" s="192"/>
      <c r="G15" s="192"/>
      <c r="H15" s="192"/>
      <c r="I15" s="193" t="s">
        <v>221</v>
      </c>
      <c r="J15" s="196" t="str">
        <f>J14</f>
        <v>Harish</v>
      </c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04"/>
      <c r="W15" s="194" t="s">
        <v>236</v>
      </c>
    </row>
    <row r="16" ht="37.5" customHeight="1">
      <c r="B16" s="153"/>
      <c r="C16" s="197" t="str">
        <f>C12</f>
        <v>Andrew</v>
      </c>
      <c r="D16" s="155"/>
      <c r="E16" s="155"/>
      <c r="F16" s="155"/>
      <c r="G16" s="155"/>
      <c r="H16" s="155"/>
      <c r="I16" s="153"/>
      <c r="J16" s="197" t="str">
        <f>J12</f>
        <v>Farhan</v>
      </c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6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5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>
      <c r="B20" s="167" t="s">
        <v>202</v>
      </c>
      <c r="H20" s="96"/>
      <c r="I20" s="168" t="s">
        <v>203</v>
      </c>
      <c r="J20" s="169">
        <v>45945.0</v>
      </c>
      <c r="M20" s="170" t="s">
        <v>204</v>
      </c>
      <c r="N20" s="172">
        <f>N2</f>
        <v>5</v>
      </c>
      <c r="O20" s="104"/>
      <c r="P20" s="170" t="s">
        <v>205</v>
      </c>
      <c r="Q20" s="171">
        <v>2.0</v>
      </c>
      <c r="R20" s="173"/>
      <c r="S20" s="174"/>
      <c r="U20" s="173"/>
      <c r="W20" s="104"/>
    </row>
    <row r="21">
      <c r="B21" s="104"/>
    </row>
    <row r="22" ht="37.5" customHeight="1">
      <c r="B22" s="107" t="s">
        <v>224</v>
      </c>
      <c r="I22" s="107" t="s">
        <v>227</v>
      </c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Teams!$D$11:$E$13, 2, FALSE)</f>
        <v>Peter A</v>
      </c>
      <c r="D24" s="175"/>
      <c r="E24" s="175"/>
      <c r="F24" s="175"/>
      <c r="G24" s="175"/>
      <c r="H24" s="176"/>
      <c r="I24" s="177" t="s">
        <v>175</v>
      </c>
      <c r="J24" s="126" t="str">
        <f>VLOOKUP(I24, Teams!$N$11:$O$13, 2, FALSE)</f>
        <v>Bow (R)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89" t="s">
        <v>219</v>
      </c>
    </row>
    <row r="25" ht="60.0" customHeight="1">
      <c r="B25" s="122" t="s">
        <v>175</v>
      </c>
      <c r="C25" s="123" t="str">
        <f>VLOOKUP(B25, Teams!$D$11:$E$13, 2, FALSE)</f>
        <v>Peter W</v>
      </c>
      <c r="D25" s="175"/>
      <c r="E25" s="175"/>
      <c r="F25" s="175"/>
      <c r="G25" s="178"/>
      <c r="H25" s="176"/>
      <c r="I25" s="177" t="s">
        <v>184</v>
      </c>
      <c r="J25" s="126" t="str">
        <f>VLOOKUP(I25, Teams!$N$11:$O$13, 2, FALSE)</f>
        <v>Nathan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89" t="s">
        <v>220</v>
      </c>
    </row>
    <row r="26" ht="60.0" customHeight="1">
      <c r="B26" s="122" t="s">
        <v>184</v>
      </c>
      <c r="C26" s="123" t="str">
        <f>VLOOKUP(B26, Teams!$D$11:$E$13, 2, FALSE)</f>
        <v>Rohit</v>
      </c>
      <c r="D26" s="175"/>
      <c r="E26" s="175"/>
      <c r="F26" s="175"/>
      <c r="G26" s="178"/>
      <c r="H26" s="176"/>
      <c r="I26" s="177" t="s">
        <v>193</v>
      </c>
      <c r="J26" s="126" t="str">
        <f>VLOOKUP(I26, Teams!$N$11:$O$13, 2, FALSE)</f>
        <v>Kyle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89" t="s">
        <v>219</v>
      </c>
    </row>
    <row r="27" ht="60.0" customHeight="1">
      <c r="B27" s="122" t="s">
        <v>193</v>
      </c>
      <c r="C27" s="123" t="str">
        <f>VLOOKUP(B27, Teams!$D$11:$E$13, 2, FALSE)</f>
        <v>Peter A</v>
      </c>
      <c r="D27" s="175"/>
      <c r="E27" s="175"/>
      <c r="F27" s="175"/>
      <c r="G27" s="178"/>
      <c r="H27" s="176"/>
      <c r="I27" s="177" t="s">
        <v>184</v>
      </c>
      <c r="J27" s="126" t="str">
        <f>VLOOKUP(I27, Teams!$N$11:$O$13, 2, FALSE)</f>
        <v>Nathan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89" t="s">
        <v>220</v>
      </c>
    </row>
    <row r="28" ht="60.0" customHeight="1">
      <c r="B28" s="134" t="s">
        <v>184</v>
      </c>
      <c r="C28" s="123" t="str">
        <f>VLOOKUP(B28, Teams!$D$11:$E$13, 2, FALSE)</f>
        <v>Rohit</v>
      </c>
      <c r="D28" s="175"/>
      <c r="E28" s="175"/>
      <c r="F28" s="175"/>
      <c r="G28" s="178"/>
      <c r="H28" s="176"/>
      <c r="I28" s="177" t="s">
        <v>175</v>
      </c>
      <c r="J28" s="126" t="str">
        <f>VLOOKUP(I28, Teams!$N$11:$O$13, 2, FALSE)</f>
        <v>Bow (R)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89" t="s">
        <v>219</v>
      </c>
    </row>
    <row r="29" ht="60.0" customHeight="1">
      <c r="B29" s="134" t="s">
        <v>175</v>
      </c>
      <c r="C29" s="123" t="str">
        <f>VLOOKUP(B29, Teams!$D$11:$E$13, 2, FALSE)</f>
        <v>Peter W</v>
      </c>
      <c r="D29" s="175"/>
      <c r="E29" s="175"/>
      <c r="F29" s="175"/>
      <c r="G29" s="178"/>
      <c r="H29" s="176"/>
      <c r="I29" s="177" t="s">
        <v>193</v>
      </c>
      <c r="J29" s="126" t="str">
        <f>VLOOKUP(I29, Teams!$N$11:$O$13, 2, FALSE)</f>
        <v>Kyle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89" t="s">
        <v>220</v>
      </c>
    </row>
    <row r="30" ht="60.0" customHeight="1">
      <c r="B30" s="134" t="s">
        <v>184</v>
      </c>
      <c r="C30" s="123" t="str">
        <f>VLOOKUP(B30, Teams!$D$11:$E$13, 2, FALSE)</f>
        <v>Rohit</v>
      </c>
      <c r="D30" s="175"/>
      <c r="E30" s="175"/>
      <c r="F30" s="175"/>
      <c r="G30" s="178"/>
      <c r="H30" s="176"/>
      <c r="I30" s="179" t="s">
        <v>184</v>
      </c>
      <c r="J30" s="126" t="str">
        <f>VLOOKUP(I30, Teams!$N$11:$O$13, 2, FALSE)</f>
        <v>Nathan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89" t="s">
        <v>219</v>
      </c>
    </row>
    <row r="31" ht="60.0" customHeight="1">
      <c r="B31" s="122" t="s">
        <v>193</v>
      </c>
      <c r="C31" s="123" t="str">
        <f>VLOOKUP(B31, Teams!$D$11:$E$13, 2, FALSE)</f>
        <v>Peter A</v>
      </c>
      <c r="D31" s="175"/>
      <c r="E31" s="175"/>
      <c r="F31" s="175"/>
      <c r="G31" s="178"/>
      <c r="H31" s="176"/>
      <c r="I31" s="177" t="s">
        <v>193</v>
      </c>
      <c r="J31" s="126" t="str">
        <f>VLOOKUP(I31, Teams!$N$11:$O$13, 2, FALSE)</f>
        <v>Kyle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89" t="s">
        <v>220</v>
      </c>
    </row>
    <row r="32" ht="60.0" customHeight="1">
      <c r="B32" s="135" t="s">
        <v>175</v>
      </c>
      <c r="C32" s="136" t="str">
        <f>VLOOKUP(B32, Teams!$D$11:$E$13, 2, FALSE)</f>
        <v>Peter W</v>
      </c>
      <c r="D32" s="180"/>
      <c r="E32" s="180"/>
      <c r="F32" s="180"/>
      <c r="G32" s="180"/>
      <c r="H32" s="181"/>
      <c r="I32" s="182" t="s">
        <v>175</v>
      </c>
      <c r="J32" s="136" t="str">
        <f>VLOOKUP(I32, Teams!$N$11:$O$13, 2, FALSE)</f>
        <v>Bow (R)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90" t="s">
        <v>219</v>
      </c>
    </row>
    <row r="33" ht="37.5" customHeight="1">
      <c r="B33" s="144" t="s">
        <v>221</v>
      </c>
      <c r="C33" s="196" t="str">
        <f>C32</f>
        <v>Peter W</v>
      </c>
      <c r="D33" s="146"/>
      <c r="E33" s="146"/>
      <c r="F33" s="146"/>
      <c r="G33" s="146"/>
      <c r="H33" s="146"/>
      <c r="I33" s="144" t="s">
        <v>221</v>
      </c>
      <c r="J33" s="196" t="str">
        <f>J32</f>
        <v>Bow (R)</v>
      </c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04"/>
      <c r="W33" s="194" t="s">
        <v>236</v>
      </c>
    </row>
    <row r="34" ht="37.5" customHeight="1">
      <c r="B34" s="153"/>
      <c r="C34" s="197" t="str">
        <f>C30</f>
        <v>Rohit</v>
      </c>
      <c r="D34" s="155"/>
      <c r="E34" s="155"/>
      <c r="F34" s="155"/>
      <c r="G34" s="155"/>
      <c r="H34" s="155"/>
      <c r="I34" s="153"/>
      <c r="J34" s="197" t="str">
        <f>J30</f>
        <v>Nathan</v>
      </c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6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B38" s="167" t="s">
        <v>202</v>
      </c>
      <c r="H38" s="96"/>
      <c r="I38" s="168" t="s">
        <v>203</v>
      </c>
      <c r="J38" s="169">
        <v>45945.0</v>
      </c>
      <c r="M38" s="170" t="s">
        <v>204</v>
      </c>
      <c r="N38" s="172">
        <f>N2</f>
        <v>5</v>
      </c>
      <c r="O38" s="104"/>
      <c r="P38" s="170" t="s">
        <v>205</v>
      </c>
      <c r="Q38" s="171">
        <v>3.0</v>
      </c>
      <c r="R38" s="173"/>
      <c r="S38" s="174"/>
      <c r="U38" s="173"/>
      <c r="W38" s="104"/>
    </row>
    <row r="39">
      <c r="B39" s="104"/>
    </row>
    <row r="40" ht="37.5" customHeight="1">
      <c r="B40" s="107" t="s">
        <v>226</v>
      </c>
      <c r="I40" s="107" t="s">
        <v>225</v>
      </c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83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77" t="s">
        <v>193</v>
      </c>
      <c r="C42" s="123" t="str">
        <f>VLOOKUP(B42, Teams!$L$11:$M$13, 2, FALSE)</f>
        <v>Michael C</v>
      </c>
      <c r="D42" s="175"/>
      <c r="E42" s="175"/>
      <c r="F42" s="175"/>
      <c r="G42" s="175"/>
      <c r="H42" s="176"/>
      <c r="I42" s="177" t="s">
        <v>175</v>
      </c>
      <c r="J42" s="123" t="str">
        <f>VLOOKUP(I42, Teams!$F$11:$G$13, 2, FALSE)</f>
        <v>Dheep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89" t="s">
        <v>219</v>
      </c>
    </row>
    <row r="43" ht="60.0" customHeight="1">
      <c r="B43" s="177" t="s">
        <v>175</v>
      </c>
      <c r="C43" s="123" t="str">
        <f>VLOOKUP(B43, Teams!$L$11:$M$13, 2, FALSE)</f>
        <v>Mick R</v>
      </c>
      <c r="D43" s="175"/>
      <c r="E43" s="175"/>
      <c r="F43" s="175"/>
      <c r="G43" s="178"/>
      <c r="H43" s="176"/>
      <c r="I43" s="177" t="s">
        <v>184</v>
      </c>
      <c r="J43" s="123" t="str">
        <f>VLOOKUP(I43, Teams!$F$11:$G$13, 2, FALSE)</f>
        <v>Reece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89" t="s">
        <v>220</v>
      </c>
    </row>
    <row r="44" ht="60.0" customHeight="1">
      <c r="B44" s="177" t="s">
        <v>184</v>
      </c>
      <c r="C44" s="123" t="str">
        <f>VLOOKUP(B44, Teams!$L$11:$M$13, 2, FALSE)</f>
        <v>Paula</v>
      </c>
      <c r="D44" s="175"/>
      <c r="E44" s="175"/>
      <c r="F44" s="175"/>
      <c r="G44" s="178"/>
      <c r="H44" s="176"/>
      <c r="I44" s="177" t="s">
        <v>193</v>
      </c>
      <c r="J44" s="123" t="str">
        <f>VLOOKUP(I44, Teams!$F$11:$G$13, 2, FALSE)</f>
        <v>Tilly (R)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89" t="s">
        <v>219</v>
      </c>
    </row>
    <row r="45" ht="60.0" customHeight="1">
      <c r="B45" s="177" t="s">
        <v>193</v>
      </c>
      <c r="C45" s="123" t="str">
        <f>VLOOKUP(B45, Teams!$L$11:$M$13, 2, FALSE)</f>
        <v>Michael C</v>
      </c>
      <c r="D45" s="175"/>
      <c r="E45" s="175"/>
      <c r="F45" s="175"/>
      <c r="G45" s="178"/>
      <c r="H45" s="176"/>
      <c r="I45" s="177" t="s">
        <v>184</v>
      </c>
      <c r="J45" s="123" t="str">
        <f>VLOOKUP(I45, Teams!$F$11:$G$13, 2, FALSE)</f>
        <v>Reece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89" t="s">
        <v>220</v>
      </c>
    </row>
    <row r="46" ht="60.0" customHeight="1">
      <c r="B46" s="179" t="s">
        <v>184</v>
      </c>
      <c r="C46" s="123" t="str">
        <f>VLOOKUP(B46, Teams!$L$11:$M$13, 2, FALSE)</f>
        <v>Paula</v>
      </c>
      <c r="D46" s="175"/>
      <c r="E46" s="175"/>
      <c r="F46" s="175"/>
      <c r="G46" s="178"/>
      <c r="H46" s="176"/>
      <c r="I46" s="177" t="s">
        <v>175</v>
      </c>
      <c r="J46" s="123" t="str">
        <f>VLOOKUP(I46, Teams!$F$11:$G$13, 2, FALSE)</f>
        <v>Dheep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89" t="s">
        <v>219</v>
      </c>
    </row>
    <row r="47" ht="60.0" customHeight="1">
      <c r="B47" s="179" t="s">
        <v>175</v>
      </c>
      <c r="C47" s="123" t="str">
        <f>VLOOKUP(B47, Teams!$L$11:$M$13, 2, FALSE)</f>
        <v>Mick R</v>
      </c>
      <c r="D47" s="175"/>
      <c r="E47" s="175"/>
      <c r="F47" s="175"/>
      <c r="G47" s="178"/>
      <c r="H47" s="176"/>
      <c r="I47" s="177" t="s">
        <v>193</v>
      </c>
      <c r="J47" s="123" t="str">
        <f>VLOOKUP(I47, Teams!$F$11:$G$13, 2, FALSE)</f>
        <v>Tilly (R)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89" t="s">
        <v>220</v>
      </c>
    </row>
    <row r="48" ht="60.0" customHeight="1">
      <c r="B48" s="179" t="s">
        <v>184</v>
      </c>
      <c r="C48" s="123" t="str">
        <f>VLOOKUP(B48, Teams!$L$11:$M$13, 2, FALSE)</f>
        <v>Paula</v>
      </c>
      <c r="D48" s="175"/>
      <c r="E48" s="175"/>
      <c r="F48" s="175"/>
      <c r="G48" s="178"/>
      <c r="H48" s="176"/>
      <c r="I48" s="179" t="s">
        <v>184</v>
      </c>
      <c r="J48" s="123" t="str">
        <f>VLOOKUP(I48, Teams!$F$11:$G$13, 2, FALSE)</f>
        <v>Reece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89" t="s">
        <v>219</v>
      </c>
    </row>
    <row r="49" ht="60.0" customHeight="1">
      <c r="B49" s="177" t="s">
        <v>193</v>
      </c>
      <c r="C49" s="123" t="str">
        <f>VLOOKUP(B49, Teams!$L$11:$M$13, 2, FALSE)</f>
        <v>Michael C</v>
      </c>
      <c r="D49" s="175"/>
      <c r="E49" s="175"/>
      <c r="F49" s="175"/>
      <c r="G49" s="178"/>
      <c r="H49" s="176"/>
      <c r="I49" s="177" t="s">
        <v>193</v>
      </c>
      <c r="J49" s="123" t="str">
        <f>VLOOKUP(I49, Teams!$F$11:$G$13, 2, FALSE)</f>
        <v>Tilly (R)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89" t="s">
        <v>220</v>
      </c>
    </row>
    <row r="50" ht="60.0" customHeight="1">
      <c r="B50" s="182" t="s">
        <v>175</v>
      </c>
      <c r="C50" s="136" t="str">
        <f>VLOOKUP(B50, Teams!$L$11:$M$13, 2, FALSE)</f>
        <v>Mick R</v>
      </c>
      <c r="D50" s="180"/>
      <c r="E50" s="180"/>
      <c r="F50" s="180"/>
      <c r="G50" s="180"/>
      <c r="H50" s="181"/>
      <c r="I50" s="182" t="s">
        <v>175</v>
      </c>
      <c r="J50" s="136" t="str">
        <f>VLOOKUP(I50, Teams!$F$11:$G$13, 2, FALSE)</f>
        <v>Dheep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90" t="s">
        <v>219</v>
      </c>
    </row>
    <row r="51" ht="37.5" customHeight="1">
      <c r="B51" s="188" t="s">
        <v>221</v>
      </c>
      <c r="C51" s="196" t="str">
        <f>C50</f>
        <v>Mick R</v>
      </c>
      <c r="D51" s="199"/>
      <c r="E51" s="199"/>
      <c r="F51" s="199"/>
      <c r="G51" s="199"/>
      <c r="H51" s="199"/>
      <c r="I51" s="200" t="s">
        <v>221</v>
      </c>
      <c r="J51" s="196" t="str">
        <f>J50</f>
        <v>Dheep</v>
      </c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04"/>
      <c r="W51" s="194" t="s">
        <v>236</v>
      </c>
    </row>
    <row r="52" ht="37.5" customHeight="1">
      <c r="B52" s="153"/>
      <c r="C52" s="197" t="str">
        <f>C48</f>
        <v>Paula</v>
      </c>
      <c r="D52" s="155"/>
      <c r="E52" s="155"/>
      <c r="F52" s="155"/>
      <c r="G52" s="155"/>
      <c r="H52" s="155"/>
      <c r="I52" s="153"/>
      <c r="J52" s="197" t="str">
        <f>J48</f>
        <v>Reece</v>
      </c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6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3.0" customHeight="1"/>
    <row r="56">
      <c r="B56" s="167" t="s">
        <v>202</v>
      </c>
      <c r="H56" s="96"/>
      <c r="I56" s="168" t="s">
        <v>203</v>
      </c>
      <c r="J56" s="169">
        <v>45945.0</v>
      </c>
      <c r="M56" s="170" t="s">
        <v>204</v>
      </c>
      <c r="N56" s="172">
        <f>N2</f>
        <v>5</v>
      </c>
      <c r="O56" s="104"/>
      <c r="P56" s="170" t="s">
        <v>205</v>
      </c>
      <c r="Q56" s="171">
        <v>4.0</v>
      </c>
      <c r="R56" s="173"/>
      <c r="S56" s="174"/>
      <c r="U56" s="173"/>
      <c r="W56" s="104"/>
    </row>
    <row r="57">
      <c r="B57" s="104"/>
    </row>
    <row r="58" ht="37.5" customHeight="1">
      <c r="B58" s="107" t="s">
        <v>233</v>
      </c>
      <c r="D58" s="101"/>
      <c r="E58" s="101"/>
      <c r="F58" s="101"/>
      <c r="G58" s="101"/>
      <c r="H58" s="101"/>
      <c r="I58" s="107" t="s">
        <v>207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Teams!$J$11:$K$13, 2, FALSE)</f>
        <v>Angela</v>
      </c>
      <c r="D60" s="124"/>
      <c r="E60" s="124"/>
      <c r="F60" s="124"/>
      <c r="G60" s="124"/>
      <c r="H60" s="125"/>
      <c r="I60" s="122" t="s">
        <v>175</v>
      </c>
      <c r="J60" s="126" t="str">
        <f>VLOOKUP(I60, Teams!$P$11:$Q$13, 2, FALSE)</f>
        <v>Richard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89" t="s">
        <v>219</v>
      </c>
    </row>
    <row r="61" ht="60.0" customHeight="1">
      <c r="B61" s="122" t="s">
        <v>175</v>
      </c>
      <c r="C61" s="123" t="str">
        <f>VLOOKUP(B61, Teams!$J$11:$K$13, 2, FALSE)</f>
        <v>Aarya (R)</v>
      </c>
      <c r="D61" s="124"/>
      <c r="E61" s="124"/>
      <c r="F61" s="124"/>
      <c r="G61" s="131"/>
      <c r="H61" s="125"/>
      <c r="I61" s="122" t="s">
        <v>184</v>
      </c>
      <c r="J61" s="126" t="str">
        <f>VLOOKUP(I61, Teams!$P$11:$Q$13, 2, FALSE)</f>
        <v>Bo C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89" t="s">
        <v>220</v>
      </c>
    </row>
    <row r="62" ht="60.0" customHeight="1">
      <c r="B62" s="122" t="s">
        <v>184</v>
      </c>
      <c r="C62" s="123" t="str">
        <f>VLOOKUP(B62, Teams!$J$11:$K$13, 2, FALSE)</f>
        <v>John</v>
      </c>
      <c r="D62" s="124"/>
      <c r="E62" s="124"/>
      <c r="F62" s="124"/>
      <c r="G62" s="131"/>
      <c r="H62" s="125"/>
      <c r="I62" s="122" t="s">
        <v>193</v>
      </c>
      <c r="J62" s="126" t="str">
        <f>VLOOKUP(I62, Teams!$P$11:$Q$13, 2, FALSE)</f>
        <v>Peter H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89" t="s">
        <v>219</v>
      </c>
    </row>
    <row r="63" ht="60.0" customHeight="1">
      <c r="B63" s="122" t="s">
        <v>193</v>
      </c>
      <c r="C63" s="123" t="str">
        <f>VLOOKUP(B63, Teams!$J$11:$K$13, 2, FALSE)</f>
        <v>Angela</v>
      </c>
      <c r="D63" s="124"/>
      <c r="E63" s="124"/>
      <c r="F63" s="124"/>
      <c r="G63" s="131"/>
      <c r="H63" s="125"/>
      <c r="I63" s="122" t="s">
        <v>184</v>
      </c>
      <c r="J63" s="126" t="str">
        <f>VLOOKUP(I63, Teams!$P$11:$Q$13, 2, FALSE)</f>
        <v>Bo C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89" t="s">
        <v>220</v>
      </c>
    </row>
    <row r="64" ht="60.0" customHeight="1">
      <c r="B64" s="134" t="s">
        <v>184</v>
      </c>
      <c r="C64" s="123" t="str">
        <f>VLOOKUP(B64, Teams!$J$11:$K$13, 2, FALSE)</f>
        <v>John</v>
      </c>
      <c r="D64" s="124"/>
      <c r="E64" s="124"/>
      <c r="F64" s="124"/>
      <c r="G64" s="131"/>
      <c r="H64" s="125"/>
      <c r="I64" s="122" t="s">
        <v>175</v>
      </c>
      <c r="J64" s="126" t="str">
        <f>VLOOKUP(I64, Teams!$P$11:$Q$13, 2, FALSE)</f>
        <v>Richard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89" t="s">
        <v>219</v>
      </c>
    </row>
    <row r="65" ht="60.0" customHeight="1">
      <c r="B65" s="134" t="s">
        <v>175</v>
      </c>
      <c r="C65" s="123" t="str">
        <f>VLOOKUP(B65, Teams!$J$11:$K$13, 2, FALSE)</f>
        <v>Aarya (R)</v>
      </c>
      <c r="D65" s="124"/>
      <c r="E65" s="124"/>
      <c r="F65" s="124"/>
      <c r="G65" s="131"/>
      <c r="H65" s="125"/>
      <c r="I65" s="122" t="s">
        <v>193</v>
      </c>
      <c r="J65" s="126" t="str">
        <f>VLOOKUP(I65, Teams!$P$11:$Q$13, 2, FALSE)</f>
        <v>Peter H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89" t="s">
        <v>220</v>
      </c>
    </row>
    <row r="66" ht="60.0" customHeight="1">
      <c r="B66" s="134" t="s">
        <v>184</v>
      </c>
      <c r="C66" s="123" t="str">
        <f>VLOOKUP(B66, Teams!$J$11:$K$13, 2, FALSE)</f>
        <v>John</v>
      </c>
      <c r="D66" s="124"/>
      <c r="E66" s="124"/>
      <c r="F66" s="124"/>
      <c r="G66" s="131"/>
      <c r="H66" s="125"/>
      <c r="I66" s="134" t="s">
        <v>184</v>
      </c>
      <c r="J66" s="126" t="str">
        <f>VLOOKUP(I66, Teams!$P$11:$Q$13, 2, FALSE)</f>
        <v>Bo C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89" t="s">
        <v>219</v>
      </c>
    </row>
    <row r="67" ht="60.0" customHeight="1">
      <c r="B67" s="122" t="s">
        <v>193</v>
      </c>
      <c r="C67" s="123" t="str">
        <f>VLOOKUP(B67, Teams!$J$11:$K$13, 2, FALSE)</f>
        <v>Angela</v>
      </c>
      <c r="D67" s="124"/>
      <c r="E67" s="124"/>
      <c r="F67" s="124"/>
      <c r="G67" s="131"/>
      <c r="H67" s="125"/>
      <c r="I67" s="122" t="s">
        <v>193</v>
      </c>
      <c r="J67" s="126" t="str">
        <f>VLOOKUP(I67, Teams!$P$11:$Q$13, 2, FALSE)</f>
        <v>Peter H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89" t="s">
        <v>220</v>
      </c>
    </row>
    <row r="68" ht="60.0" customHeight="1">
      <c r="B68" s="135" t="s">
        <v>175</v>
      </c>
      <c r="C68" s="136" t="str">
        <f>VLOOKUP(B68, Teams!$J$11:$K$13, 2, FALSE)</f>
        <v>Aarya (R)</v>
      </c>
      <c r="D68" s="180"/>
      <c r="E68" s="180"/>
      <c r="F68" s="180"/>
      <c r="G68" s="180"/>
      <c r="H68" s="181"/>
      <c r="I68" s="182" t="s">
        <v>175</v>
      </c>
      <c r="J68" s="136" t="str">
        <f>VLOOKUP(I68, Teams!$P$11:$Q$13, 2, FALSE)</f>
        <v>Richard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90" t="s">
        <v>219</v>
      </c>
    </row>
    <row r="69" ht="37.5" customHeight="1">
      <c r="B69" s="144" t="s">
        <v>221</v>
      </c>
      <c r="C69" s="196" t="str">
        <f>C68</f>
        <v>Aarya (R)</v>
      </c>
      <c r="D69" s="199"/>
      <c r="E69" s="199"/>
      <c r="F69" s="199"/>
      <c r="G69" s="199"/>
      <c r="H69" s="199"/>
      <c r="I69" s="200" t="s">
        <v>221</v>
      </c>
      <c r="J69" s="196" t="str">
        <f>J68</f>
        <v>Richard</v>
      </c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04"/>
      <c r="W69" s="194" t="s">
        <v>236</v>
      </c>
    </row>
    <row r="70" ht="37.5" customHeight="1">
      <c r="B70" s="153"/>
      <c r="C70" s="197" t="str">
        <f>C66</f>
        <v>John</v>
      </c>
      <c r="D70" s="155"/>
      <c r="E70" s="155"/>
      <c r="F70" s="155"/>
      <c r="G70" s="155"/>
      <c r="H70" s="155"/>
      <c r="I70" s="153"/>
      <c r="J70" s="197" t="str">
        <f>J66</f>
        <v>Bo C</v>
      </c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6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  <row r="73" ht="33.0" customHeight="1"/>
  </sheetData>
  <mergeCells count="124">
    <mergeCell ref="Q15:Q16"/>
    <mergeCell ref="R15:R16"/>
    <mergeCell ref="Q18:T18"/>
    <mergeCell ref="S20:T20"/>
    <mergeCell ref="U20:V20"/>
    <mergeCell ref="H15:H16"/>
    <mergeCell ref="I15:I16"/>
    <mergeCell ref="B20:H20"/>
    <mergeCell ref="B21:W21"/>
    <mergeCell ref="B22:H22"/>
    <mergeCell ref="I22:O22"/>
    <mergeCell ref="Q22:R22"/>
    <mergeCell ref="R33:R34"/>
    <mergeCell ref="S33:S34"/>
    <mergeCell ref="T33:T34"/>
    <mergeCell ref="U33:U34"/>
    <mergeCell ref="V33:V34"/>
    <mergeCell ref="W33:W34"/>
    <mergeCell ref="Q36:T36"/>
    <mergeCell ref="G33:G34"/>
    <mergeCell ref="H33:H34"/>
    <mergeCell ref="M33:M34"/>
    <mergeCell ref="N33:N34"/>
    <mergeCell ref="O33:O34"/>
    <mergeCell ref="P33:P34"/>
    <mergeCell ref="Q33:Q34"/>
    <mergeCell ref="B2:H2"/>
    <mergeCell ref="J2:L2"/>
    <mergeCell ref="S2:T2"/>
    <mergeCell ref="U2:V2"/>
    <mergeCell ref="B3:W3"/>
    <mergeCell ref="B4:H4"/>
    <mergeCell ref="I4:O4"/>
    <mergeCell ref="U4:V4"/>
    <mergeCell ref="M15:M16"/>
    <mergeCell ref="N15:N16"/>
    <mergeCell ref="O15:O16"/>
    <mergeCell ref="P15:P16"/>
    <mergeCell ref="S15:S16"/>
    <mergeCell ref="T15:T16"/>
    <mergeCell ref="U15:U16"/>
    <mergeCell ref="V15:V16"/>
    <mergeCell ref="W15:W16"/>
    <mergeCell ref="Q4:R4"/>
    <mergeCell ref="S4:T4"/>
    <mergeCell ref="B15:B16"/>
    <mergeCell ref="D15:D16"/>
    <mergeCell ref="E15:E16"/>
    <mergeCell ref="F15:F16"/>
    <mergeCell ref="G15:G16"/>
    <mergeCell ref="S22:T22"/>
    <mergeCell ref="U22:V22"/>
    <mergeCell ref="Q40:R40"/>
    <mergeCell ref="S40:T40"/>
    <mergeCell ref="B38:H38"/>
    <mergeCell ref="J38:L38"/>
    <mergeCell ref="S38:T38"/>
    <mergeCell ref="U38:V38"/>
    <mergeCell ref="B39:W39"/>
    <mergeCell ref="B40:H40"/>
    <mergeCell ref="I40:O40"/>
    <mergeCell ref="U40:V40"/>
    <mergeCell ref="I69:I70"/>
    <mergeCell ref="K69:K70"/>
    <mergeCell ref="G51:G52"/>
    <mergeCell ref="B56:H56"/>
    <mergeCell ref="J56:L56"/>
    <mergeCell ref="B69:B70"/>
    <mergeCell ref="D69:D70"/>
    <mergeCell ref="E69:E70"/>
    <mergeCell ref="F69:F70"/>
    <mergeCell ref="L69:L70"/>
    <mergeCell ref="K15:K16"/>
    <mergeCell ref="L15:L16"/>
    <mergeCell ref="J20:L20"/>
    <mergeCell ref="B33:B34"/>
    <mergeCell ref="D33:D34"/>
    <mergeCell ref="E33:E34"/>
    <mergeCell ref="F33:F34"/>
    <mergeCell ref="L33:L34"/>
    <mergeCell ref="H51:H52"/>
    <mergeCell ref="I51:I52"/>
    <mergeCell ref="L51:L52"/>
    <mergeCell ref="M51:M52"/>
    <mergeCell ref="N51:N52"/>
    <mergeCell ref="O51:O52"/>
    <mergeCell ref="P51:P52"/>
    <mergeCell ref="I33:I34"/>
    <mergeCell ref="K33:K34"/>
    <mergeCell ref="B51:B52"/>
    <mergeCell ref="D51:D52"/>
    <mergeCell ref="E51:E52"/>
    <mergeCell ref="F51:F52"/>
    <mergeCell ref="K51:K52"/>
    <mergeCell ref="Q51:Q52"/>
    <mergeCell ref="R51:R52"/>
    <mergeCell ref="S51:S52"/>
    <mergeCell ref="T51:T52"/>
    <mergeCell ref="U51:U52"/>
    <mergeCell ref="V51:V52"/>
    <mergeCell ref="W51:W52"/>
    <mergeCell ref="S58:T58"/>
    <mergeCell ref="U58:V58"/>
    <mergeCell ref="Q54:T54"/>
    <mergeCell ref="S56:T56"/>
    <mergeCell ref="U56:V56"/>
    <mergeCell ref="B57:W57"/>
    <mergeCell ref="B58:C58"/>
    <mergeCell ref="I58:J58"/>
    <mergeCell ref="Q58:R58"/>
    <mergeCell ref="R69:R70"/>
    <mergeCell ref="S69:S70"/>
    <mergeCell ref="T69:T70"/>
    <mergeCell ref="U69:U70"/>
    <mergeCell ref="V69:V70"/>
    <mergeCell ref="W69:W70"/>
    <mergeCell ref="Q72:T72"/>
    <mergeCell ref="G69:G70"/>
    <mergeCell ref="H69:H70"/>
    <mergeCell ref="M69:M70"/>
    <mergeCell ref="N69:N70"/>
    <mergeCell ref="O69:O70"/>
    <mergeCell ref="P69:P70"/>
    <mergeCell ref="Q69:Q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>
      <c r="B2" s="167" t="s">
        <v>202</v>
      </c>
      <c r="H2" s="96"/>
      <c r="I2" s="168" t="s">
        <v>203</v>
      </c>
      <c r="J2" s="169">
        <v>45980.0</v>
      </c>
      <c r="M2" s="170" t="s">
        <v>204</v>
      </c>
      <c r="N2" s="171">
        <v>6.0</v>
      </c>
      <c r="O2" s="104"/>
      <c r="P2" s="170" t="s">
        <v>205</v>
      </c>
      <c r="Q2" s="172">
        <v>1.0</v>
      </c>
      <c r="R2" s="173"/>
      <c r="S2" s="174"/>
      <c r="U2" s="173"/>
      <c r="W2" s="104"/>
    </row>
    <row r="3">
      <c r="B3" s="104"/>
    </row>
    <row r="4" ht="37.5" customHeight="1">
      <c r="B4" s="106" t="s">
        <v>206</v>
      </c>
      <c r="I4" s="107" t="s">
        <v>225</v>
      </c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Teams!$B$11:$C$13, 2, FALSE)</f>
        <v>Jaydon</v>
      </c>
      <c r="D6" s="175"/>
      <c r="E6" s="175"/>
      <c r="F6" s="175"/>
      <c r="G6" s="175"/>
      <c r="H6" s="176"/>
      <c r="I6" s="177" t="s">
        <v>175</v>
      </c>
      <c r="J6" s="126" t="str">
        <f>VLOOKUP(I6, Teams!$F$11:$G$13, 2, FALSE)</f>
        <v>Dheep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89" t="s">
        <v>219</v>
      </c>
    </row>
    <row r="7" ht="60.0" customHeight="1">
      <c r="B7" s="122" t="s">
        <v>175</v>
      </c>
      <c r="C7" s="123" t="str">
        <f>VLOOKUP(B7, Teams!$B$11:$C$13, 2, FALSE)</f>
        <v>Darcy</v>
      </c>
      <c r="D7" s="175"/>
      <c r="E7" s="175"/>
      <c r="F7" s="175"/>
      <c r="G7" s="178"/>
      <c r="H7" s="176"/>
      <c r="I7" s="177" t="s">
        <v>184</v>
      </c>
      <c r="J7" s="126" t="str">
        <f>VLOOKUP(I7, Teams!$F$11:$G$13, 2, FALSE)</f>
        <v>Reece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89" t="s">
        <v>220</v>
      </c>
    </row>
    <row r="8" ht="60.0" customHeight="1">
      <c r="B8" s="122" t="s">
        <v>184</v>
      </c>
      <c r="C8" s="123" t="str">
        <f>VLOOKUP(B8, Teams!$B$11:$C$13, 2, FALSE)</f>
        <v>Andrew</v>
      </c>
      <c r="D8" s="175"/>
      <c r="E8" s="175"/>
      <c r="F8" s="175"/>
      <c r="G8" s="178"/>
      <c r="H8" s="176"/>
      <c r="I8" s="177" t="s">
        <v>193</v>
      </c>
      <c r="J8" s="126" t="str">
        <f>VLOOKUP(I8, Teams!$F$11:$G$13, 2, FALSE)</f>
        <v>Tilly (R)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89" t="s">
        <v>219</v>
      </c>
    </row>
    <row r="9" ht="60.0" customHeight="1">
      <c r="B9" s="122" t="s">
        <v>193</v>
      </c>
      <c r="C9" s="123" t="str">
        <f>VLOOKUP(B9, Teams!$B$11:$C$13, 2, FALSE)</f>
        <v>Jaydon</v>
      </c>
      <c r="D9" s="175"/>
      <c r="E9" s="175"/>
      <c r="F9" s="175"/>
      <c r="G9" s="178"/>
      <c r="H9" s="176"/>
      <c r="I9" s="177" t="s">
        <v>184</v>
      </c>
      <c r="J9" s="126" t="str">
        <f>VLOOKUP(I9, Teams!$F$11:$G$13, 2, FALSE)</f>
        <v>Reece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89" t="s">
        <v>220</v>
      </c>
    </row>
    <row r="10" ht="60.0" customHeight="1">
      <c r="B10" s="134" t="s">
        <v>184</v>
      </c>
      <c r="C10" s="123" t="str">
        <f>VLOOKUP(B10, Teams!$B$11:$C$13, 2, FALSE)</f>
        <v>Andrew</v>
      </c>
      <c r="D10" s="175"/>
      <c r="E10" s="175"/>
      <c r="F10" s="175"/>
      <c r="G10" s="178"/>
      <c r="H10" s="176"/>
      <c r="I10" s="177" t="s">
        <v>175</v>
      </c>
      <c r="J10" s="126" t="str">
        <f>VLOOKUP(I10, Teams!$F$11:$G$13, 2, FALSE)</f>
        <v>Dheep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89" t="s">
        <v>219</v>
      </c>
    </row>
    <row r="11" ht="60.0" customHeight="1">
      <c r="B11" s="134" t="s">
        <v>175</v>
      </c>
      <c r="C11" s="123" t="str">
        <f>VLOOKUP(B11, Teams!$B$11:$C$13, 2, FALSE)</f>
        <v>Darcy</v>
      </c>
      <c r="D11" s="175"/>
      <c r="E11" s="175"/>
      <c r="F11" s="175"/>
      <c r="G11" s="178"/>
      <c r="H11" s="176"/>
      <c r="I11" s="177" t="s">
        <v>193</v>
      </c>
      <c r="J11" s="126" t="str">
        <f>VLOOKUP(I11, Teams!$F$11:$G$13, 2, FALSE)</f>
        <v>Tilly (R)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89" t="s">
        <v>220</v>
      </c>
    </row>
    <row r="12" ht="60.0" customHeight="1">
      <c r="B12" s="134" t="s">
        <v>184</v>
      </c>
      <c r="C12" s="123" t="str">
        <f>VLOOKUP(B12, Teams!$B$11:$C$13, 2, FALSE)</f>
        <v>Andrew</v>
      </c>
      <c r="D12" s="175"/>
      <c r="E12" s="175"/>
      <c r="F12" s="175"/>
      <c r="G12" s="178"/>
      <c r="H12" s="176"/>
      <c r="I12" s="179" t="s">
        <v>184</v>
      </c>
      <c r="J12" s="126" t="str">
        <f>VLOOKUP(I12, Teams!$F$11:$G$13, 2, FALSE)</f>
        <v>Reece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89" t="s">
        <v>219</v>
      </c>
    </row>
    <row r="13" ht="60.0" customHeight="1">
      <c r="B13" s="122" t="s">
        <v>193</v>
      </c>
      <c r="C13" s="123" t="str">
        <f>VLOOKUP(B13, Teams!$B$11:$C$13, 2, FALSE)</f>
        <v>Jaydon</v>
      </c>
      <c r="D13" s="175"/>
      <c r="E13" s="175"/>
      <c r="F13" s="175"/>
      <c r="G13" s="178"/>
      <c r="H13" s="176"/>
      <c r="I13" s="177" t="s">
        <v>193</v>
      </c>
      <c r="J13" s="126" t="str">
        <f>VLOOKUP(I13, Teams!$F$11:$G$13, 2, FALSE)</f>
        <v>Tilly (R)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89" t="s">
        <v>220</v>
      </c>
    </row>
    <row r="14" ht="60.0" customHeight="1">
      <c r="B14" s="135" t="s">
        <v>175</v>
      </c>
      <c r="C14" s="136" t="str">
        <f>VLOOKUP(B14, Teams!$B$11:$C$13, 2, FALSE)</f>
        <v>Darcy</v>
      </c>
      <c r="D14" s="180"/>
      <c r="E14" s="180"/>
      <c r="F14" s="180"/>
      <c r="G14" s="180"/>
      <c r="H14" s="181"/>
      <c r="I14" s="182" t="s">
        <v>175</v>
      </c>
      <c r="J14" s="136" t="str">
        <f>VLOOKUP(I14, Teams!$F$11:$G$13, 2, FALSE)</f>
        <v>Dheep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90" t="s">
        <v>219</v>
      </c>
    </row>
    <row r="15" ht="37.5" customHeight="1">
      <c r="B15" s="144" t="s">
        <v>221</v>
      </c>
      <c r="C15" s="196" t="str">
        <f>C14</f>
        <v>Darcy</v>
      </c>
      <c r="D15" s="192"/>
      <c r="E15" s="192"/>
      <c r="F15" s="192"/>
      <c r="G15" s="192"/>
      <c r="H15" s="192"/>
      <c r="I15" s="193" t="s">
        <v>221</v>
      </c>
      <c r="J15" s="196" t="str">
        <f>J14</f>
        <v>Dheep</v>
      </c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04"/>
      <c r="W15" s="194" t="s">
        <v>236</v>
      </c>
    </row>
    <row r="16" ht="37.5" customHeight="1">
      <c r="B16" s="153"/>
      <c r="C16" s="197" t="str">
        <f>C12</f>
        <v>Andrew</v>
      </c>
      <c r="D16" s="155"/>
      <c r="E16" s="155"/>
      <c r="F16" s="155"/>
      <c r="G16" s="155"/>
      <c r="H16" s="155"/>
      <c r="I16" s="153"/>
      <c r="J16" s="197" t="str">
        <f>J12</f>
        <v>Reece</v>
      </c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6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5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>
      <c r="B20" s="167" t="s">
        <v>202</v>
      </c>
      <c r="H20" s="96"/>
      <c r="I20" s="168" t="s">
        <v>203</v>
      </c>
      <c r="J20" s="169">
        <v>45945.0</v>
      </c>
      <c r="M20" s="170" t="s">
        <v>204</v>
      </c>
      <c r="N20" s="172">
        <f>N2</f>
        <v>6</v>
      </c>
      <c r="O20" s="104"/>
      <c r="P20" s="170" t="s">
        <v>205</v>
      </c>
      <c r="Q20" s="171">
        <v>2.0</v>
      </c>
      <c r="R20" s="173"/>
      <c r="S20" s="174"/>
      <c r="U20" s="173"/>
      <c r="W20" s="104"/>
    </row>
    <row r="21">
      <c r="B21" s="104"/>
    </row>
    <row r="22" ht="37.5" customHeight="1">
      <c r="B22" s="107" t="s">
        <v>226</v>
      </c>
      <c r="I22" s="107" t="s">
        <v>207</v>
      </c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Teams!$L$11:$M$13, 2, FALSE)</f>
        <v>Michael C</v>
      </c>
      <c r="D24" s="175"/>
      <c r="E24" s="175"/>
      <c r="F24" s="175"/>
      <c r="G24" s="175"/>
      <c r="H24" s="176"/>
      <c r="I24" s="177" t="s">
        <v>175</v>
      </c>
      <c r="J24" s="126" t="str">
        <f>VLOOKUP(I24, Teams!$P$11:$Q$13, 2, FALSE)</f>
        <v>Richard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89" t="s">
        <v>219</v>
      </c>
    </row>
    <row r="25" ht="60.0" customHeight="1">
      <c r="B25" s="122" t="s">
        <v>175</v>
      </c>
      <c r="C25" s="123" t="str">
        <f>VLOOKUP(B25, Teams!$L$11:$M$13, 2, FALSE)</f>
        <v>Mick R</v>
      </c>
      <c r="D25" s="175"/>
      <c r="E25" s="175"/>
      <c r="F25" s="175"/>
      <c r="G25" s="178"/>
      <c r="H25" s="176"/>
      <c r="I25" s="177" t="s">
        <v>184</v>
      </c>
      <c r="J25" s="126" t="str">
        <f>VLOOKUP(I25, Teams!$P$11:$Q$13, 2, FALSE)</f>
        <v>Bo C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89" t="s">
        <v>220</v>
      </c>
    </row>
    <row r="26" ht="60.0" customHeight="1">
      <c r="B26" s="122" t="s">
        <v>184</v>
      </c>
      <c r="C26" s="123" t="str">
        <f>VLOOKUP(B26, Teams!$L$11:$M$13, 2, FALSE)</f>
        <v>Paula</v>
      </c>
      <c r="D26" s="175"/>
      <c r="E26" s="175"/>
      <c r="F26" s="175"/>
      <c r="G26" s="178"/>
      <c r="H26" s="176"/>
      <c r="I26" s="177" t="s">
        <v>193</v>
      </c>
      <c r="J26" s="126" t="str">
        <f>VLOOKUP(I26, Teams!$P$11:$Q$13, 2, FALSE)</f>
        <v>Peter H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89" t="s">
        <v>219</v>
      </c>
    </row>
    <row r="27" ht="60.0" customHeight="1">
      <c r="B27" s="122" t="s">
        <v>193</v>
      </c>
      <c r="C27" s="123" t="str">
        <f>VLOOKUP(B27, Teams!$L$11:$M$13, 2, FALSE)</f>
        <v>Michael C</v>
      </c>
      <c r="D27" s="175"/>
      <c r="E27" s="175"/>
      <c r="F27" s="175"/>
      <c r="G27" s="178"/>
      <c r="H27" s="176"/>
      <c r="I27" s="177" t="s">
        <v>184</v>
      </c>
      <c r="J27" s="126" t="str">
        <f>VLOOKUP(I27, Teams!$P$11:$Q$13, 2, FALSE)</f>
        <v>Bo C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89" t="s">
        <v>220</v>
      </c>
    </row>
    <row r="28" ht="60.0" customHeight="1">
      <c r="B28" s="134" t="s">
        <v>184</v>
      </c>
      <c r="C28" s="123" t="str">
        <f>VLOOKUP(B28, Teams!$L$11:$M$13, 2, FALSE)</f>
        <v>Paula</v>
      </c>
      <c r="D28" s="175"/>
      <c r="E28" s="175"/>
      <c r="F28" s="175"/>
      <c r="G28" s="178"/>
      <c r="H28" s="176"/>
      <c r="I28" s="177" t="s">
        <v>175</v>
      </c>
      <c r="J28" s="126" t="str">
        <f>VLOOKUP(I28, Teams!$P$11:$Q$13, 2, FALSE)</f>
        <v>Richard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89" t="s">
        <v>219</v>
      </c>
    </row>
    <row r="29" ht="60.0" customHeight="1">
      <c r="B29" s="134" t="s">
        <v>175</v>
      </c>
      <c r="C29" s="123" t="str">
        <f>VLOOKUP(B29, Teams!$L$11:$M$13, 2, FALSE)</f>
        <v>Mick R</v>
      </c>
      <c r="D29" s="175"/>
      <c r="E29" s="175"/>
      <c r="F29" s="175"/>
      <c r="G29" s="178"/>
      <c r="H29" s="176"/>
      <c r="I29" s="177" t="s">
        <v>193</v>
      </c>
      <c r="J29" s="126" t="str">
        <f>VLOOKUP(I29, Teams!$P$11:$Q$13, 2, FALSE)</f>
        <v>Peter H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89" t="s">
        <v>220</v>
      </c>
    </row>
    <row r="30" ht="60.0" customHeight="1">
      <c r="B30" s="134" t="s">
        <v>184</v>
      </c>
      <c r="C30" s="123" t="str">
        <f>VLOOKUP(B30, Teams!$L$11:$M$13, 2, FALSE)</f>
        <v>Paula</v>
      </c>
      <c r="D30" s="175"/>
      <c r="E30" s="175"/>
      <c r="F30" s="175"/>
      <c r="G30" s="178"/>
      <c r="H30" s="176"/>
      <c r="I30" s="179" t="s">
        <v>184</v>
      </c>
      <c r="J30" s="126" t="str">
        <f>VLOOKUP(I30, Teams!$P$11:$Q$13, 2, FALSE)</f>
        <v>Bo C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89" t="s">
        <v>219</v>
      </c>
    </row>
    <row r="31" ht="60.0" customHeight="1">
      <c r="B31" s="122" t="s">
        <v>193</v>
      </c>
      <c r="C31" s="123" t="str">
        <f>VLOOKUP(B31, Teams!$L$11:$M$13, 2, FALSE)</f>
        <v>Michael C</v>
      </c>
      <c r="D31" s="175"/>
      <c r="E31" s="175"/>
      <c r="F31" s="175"/>
      <c r="G31" s="178"/>
      <c r="H31" s="176"/>
      <c r="I31" s="177" t="s">
        <v>193</v>
      </c>
      <c r="J31" s="126" t="str">
        <f>VLOOKUP(I31, Teams!$P$11:$Q$13, 2, FALSE)</f>
        <v>Peter H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89" t="s">
        <v>220</v>
      </c>
    </row>
    <row r="32" ht="60.0" customHeight="1">
      <c r="B32" s="135" t="s">
        <v>175</v>
      </c>
      <c r="C32" s="201" t="str">
        <f>VLOOKUP(B32, Teams!$L$11:$M$13, 2, FALSE)</f>
        <v>Mick R</v>
      </c>
      <c r="D32" s="180"/>
      <c r="E32" s="180"/>
      <c r="F32" s="180"/>
      <c r="G32" s="180"/>
      <c r="H32" s="181"/>
      <c r="I32" s="182" t="s">
        <v>175</v>
      </c>
      <c r="J32" s="201" t="str">
        <f>VLOOKUP(I32, Teams!$P$11:$Q$13, 2, FALSE)</f>
        <v>Richard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90" t="s">
        <v>219</v>
      </c>
    </row>
    <row r="33" ht="37.5" customHeight="1">
      <c r="B33" s="144" t="s">
        <v>221</v>
      </c>
      <c r="C33" s="196" t="str">
        <f>C32</f>
        <v>Mick R</v>
      </c>
      <c r="D33" s="146"/>
      <c r="E33" s="146"/>
      <c r="F33" s="146"/>
      <c r="G33" s="146"/>
      <c r="H33" s="146"/>
      <c r="I33" s="144" t="s">
        <v>221</v>
      </c>
      <c r="J33" s="196" t="str">
        <f>J32</f>
        <v>Richard</v>
      </c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04"/>
      <c r="W33" s="194" t="s">
        <v>236</v>
      </c>
    </row>
    <row r="34" ht="37.5" customHeight="1">
      <c r="B34" s="153"/>
      <c r="C34" s="197" t="str">
        <f>C30</f>
        <v>Paula</v>
      </c>
      <c r="D34" s="155"/>
      <c r="E34" s="155"/>
      <c r="F34" s="155"/>
      <c r="G34" s="155"/>
      <c r="H34" s="155"/>
      <c r="I34" s="153"/>
      <c r="J34" s="197" t="str">
        <f>J30</f>
        <v>Bo C</v>
      </c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6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B38" s="167" t="s">
        <v>202</v>
      </c>
      <c r="H38" s="96"/>
      <c r="I38" s="168" t="s">
        <v>203</v>
      </c>
      <c r="J38" s="169">
        <v>45945.0</v>
      </c>
      <c r="M38" s="170" t="s">
        <v>204</v>
      </c>
      <c r="N38" s="172">
        <f>N2</f>
        <v>6</v>
      </c>
      <c r="O38" s="104"/>
      <c r="P38" s="170" t="s">
        <v>205</v>
      </c>
      <c r="Q38" s="171">
        <v>3.0</v>
      </c>
      <c r="R38" s="173"/>
      <c r="S38" s="174"/>
      <c r="U38" s="173"/>
      <c r="W38" s="104"/>
    </row>
    <row r="39">
      <c r="B39" s="104"/>
    </row>
    <row r="40" ht="37.5" customHeight="1">
      <c r="B40" s="107" t="s">
        <v>233</v>
      </c>
      <c r="I40" s="107" t="s">
        <v>227</v>
      </c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83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77" t="s">
        <v>193</v>
      </c>
      <c r="C42" s="123" t="str">
        <f>VLOOKUP(B42, Teams!$J$11:$K$13, 2, FALSE)</f>
        <v>Angela</v>
      </c>
      <c r="D42" s="175"/>
      <c r="E42" s="175"/>
      <c r="F42" s="175"/>
      <c r="G42" s="175"/>
      <c r="H42" s="176"/>
      <c r="I42" s="177" t="s">
        <v>175</v>
      </c>
      <c r="J42" s="123" t="str">
        <f>VLOOKUP(I42, Teams!$N$11:$O$13, 2, FALSE)</f>
        <v>Bow (R)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89" t="s">
        <v>219</v>
      </c>
    </row>
    <row r="43" ht="60.0" customHeight="1">
      <c r="B43" s="177" t="s">
        <v>175</v>
      </c>
      <c r="C43" s="123" t="str">
        <f>VLOOKUP(B43, Teams!$J$11:$K$13, 2, FALSE)</f>
        <v>Aarya (R)</v>
      </c>
      <c r="D43" s="175"/>
      <c r="E43" s="175"/>
      <c r="F43" s="175"/>
      <c r="G43" s="178"/>
      <c r="H43" s="176"/>
      <c r="I43" s="177" t="s">
        <v>184</v>
      </c>
      <c r="J43" s="123" t="str">
        <f>VLOOKUP(I43, Teams!$N$11:$O$13, 2, FALSE)</f>
        <v>Nathan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89" t="s">
        <v>220</v>
      </c>
    </row>
    <row r="44" ht="60.0" customHeight="1">
      <c r="B44" s="177" t="s">
        <v>184</v>
      </c>
      <c r="C44" s="123" t="str">
        <f>VLOOKUP(B44, Teams!$J$11:$K$13, 2, FALSE)</f>
        <v>John</v>
      </c>
      <c r="D44" s="175"/>
      <c r="E44" s="175"/>
      <c r="F44" s="175"/>
      <c r="G44" s="178"/>
      <c r="H44" s="176"/>
      <c r="I44" s="177" t="s">
        <v>193</v>
      </c>
      <c r="J44" s="123" t="str">
        <f>VLOOKUP(I44, Teams!$N$11:$O$13, 2, FALSE)</f>
        <v>Kyle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89" t="s">
        <v>219</v>
      </c>
    </row>
    <row r="45" ht="60.0" customHeight="1">
      <c r="B45" s="177" t="s">
        <v>193</v>
      </c>
      <c r="C45" s="123" t="str">
        <f>VLOOKUP(B45, Teams!$J$11:$K$13, 2, FALSE)</f>
        <v>Angela</v>
      </c>
      <c r="D45" s="175"/>
      <c r="E45" s="175"/>
      <c r="F45" s="175"/>
      <c r="G45" s="178"/>
      <c r="H45" s="176"/>
      <c r="I45" s="177" t="s">
        <v>184</v>
      </c>
      <c r="J45" s="123" t="str">
        <f>VLOOKUP(I45, Teams!$N$11:$O$13, 2, FALSE)</f>
        <v>Nathan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89" t="s">
        <v>220</v>
      </c>
    </row>
    <row r="46" ht="60.0" customHeight="1">
      <c r="B46" s="179" t="s">
        <v>184</v>
      </c>
      <c r="C46" s="123" t="str">
        <f>VLOOKUP(B46, Teams!$J$11:$K$13, 2, FALSE)</f>
        <v>John</v>
      </c>
      <c r="D46" s="175"/>
      <c r="E46" s="175"/>
      <c r="F46" s="175"/>
      <c r="G46" s="178"/>
      <c r="H46" s="176"/>
      <c r="I46" s="177" t="s">
        <v>175</v>
      </c>
      <c r="J46" s="123" t="str">
        <f>VLOOKUP(I46, Teams!$N$11:$O$13, 2, FALSE)</f>
        <v>Bow (R)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89" t="s">
        <v>219</v>
      </c>
    </row>
    <row r="47" ht="60.0" customHeight="1">
      <c r="B47" s="179" t="s">
        <v>175</v>
      </c>
      <c r="C47" s="123" t="str">
        <f>VLOOKUP(B47, Teams!$J$11:$K$13, 2, FALSE)</f>
        <v>Aarya (R)</v>
      </c>
      <c r="D47" s="175"/>
      <c r="E47" s="175"/>
      <c r="F47" s="175"/>
      <c r="G47" s="178"/>
      <c r="H47" s="176"/>
      <c r="I47" s="177" t="s">
        <v>193</v>
      </c>
      <c r="J47" s="123" t="str">
        <f>VLOOKUP(I47, Teams!$N$11:$O$13, 2, FALSE)</f>
        <v>Kyle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89" t="s">
        <v>220</v>
      </c>
    </row>
    <row r="48" ht="60.0" customHeight="1">
      <c r="B48" s="179" t="s">
        <v>184</v>
      </c>
      <c r="C48" s="123" t="str">
        <f>VLOOKUP(B48, Teams!$J$11:$K$13, 2, FALSE)</f>
        <v>John</v>
      </c>
      <c r="D48" s="175"/>
      <c r="E48" s="175"/>
      <c r="F48" s="175"/>
      <c r="G48" s="178"/>
      <c r="H48" s="176"/>
      <c r="I48" s="179" t="s">
        <v>184</v>
      </c>
      <c r="J48" s="123" t="str">
        <f>VLOOKUP(I48, Teams!$N$11:$O$13, 2, FALSE)</f>
        <v>Nathan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89" t="s">
        <v>219</v>
      </c>
    </row>
    <row r="49" ht="60.0" customHeight="1">
      <c r="B49" s="177" t="s">
        <v>193</v>
      </c>
      <c r="C49" s="123" t="str">
        <f>VLOOKUP(B49, Teams!$J$11:$K$13, 2, FALSE)</f>
        <v>Angela</v>
      </c>
      <c r="D49" s="175"/>
      <c r="E49" s="175"/>
      <c r="F49" s="175"/>
      <c r="G49" s="178"/>
      <c r="H49" s="176"/>
      <c r="I49" s="177" t="s">
        <v>193</v>
      </c>
      <c r="J49" s="123" t="str">
        <f>VLOOKUP(I49, Teams!$N$11:$O$13, 2, FALSE)</f>
        <v>Kyle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89" t="s">
        <v>220</v>
      </c>
    </row>
    <row r="50" ht="60.0" customHeight="1">
      <c r="B50" s="182" t="s">
        <v>175</v>
      </c>
      <c r="C50" s="201" t="str">
        <f>VLOOKUP(B50, Teams!$J$11:$K$13, 2, FALSE)</f>
        <v>Aarya (R)</v>
      </c>
      <c r="D50" s="180"/>
      <c r="E50" s="180"/>
      <c r="F50" s="180"/>
      <c r="G50" s="180"/>
      <c r="H50" s="181"/>
      <c r="I50" s="182" t="s">
        <v>175</v>
      </c>
      <c r="J50" s="201" t="str">
        <f>VLOOKUP(I50, Teams!$N$11:$O$13, 2, FALSE)</f>
        <v>Bow (R)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90" t="s">
        <v>219</v>
      </c>
    </row>
    <row r="51" ht="37.5" customHeight="1">
      <c r="B51" s="188" t="s">
        <v>221</v>
      </c>
      <c r="C51" s="196" t="str">
        <f>C50</f>
        <v>Aarya (R)</v>
      </c>
      <c r="D51" s="199"/>
      <c r="E51" s="199"/>
      <c r="F51" s="199"/>
      <c r="G51" s="199"/>
      <c r="H51" s="199"/>
      <c r="I51" s="200" t="s">
        <v>221</v>
      </c>
      <c r="J51" s="196" t="str">
        <f>J50</f>
        <v>Bow (R)</v>
      </c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04"/>
      <c r="W51" s="194" t="s">
        <v>236</v>
      </c>
    </row>
    <row r="52" ht="37.5" customHeight="1">
      <c r="B52" s="153"/>
      <c r="C52" s="197" t="str">
        <f>C48</f>
        <v>John</v>
      </c>
      <c r="D52" s="155"/>
      <c r="E52" s="155"/>
      <c r="F52" s="155"/>
      <c r="G52" s="155"/>
      <c r="H52" s="155"/>
      <c r="I52" s="153"/>
      <c r="J52" s="197" t="str">
        <f>J48</f>
        <v>Nathan</v>
      </c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6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3.0" customHeight="1"/>
    <row r="56">
      <c r="B56" s="167" t="s">
        <v>202</v>
      </c>
      <c r="H56" s="96"/>
      <c r="I56" s="168" t="s">
        <v>203</v>
      </c>
      <c r="J56" s="169">
        <v>45945.0</v>
      </c>
      <c r="M56" s="170" t="s">
        <v>204</v>
      </c>
      <c r="N56" s="172">
        <f>N2</f>
        <v>6</v>
      </c>
      <c r="O56" s="104"/>
      <c r="P56" s="170" t="s">
        <v>205</v>
      </c>
      <c r="Q56" s="171">
        <v>4.0</v>
      </c>
      <c r="R56" s="173"/>
      <c r="S56" s="174"/>
      <c r="U56" s="173"/>
      <c r="W56" s="104"/>
    </row>
    <row r="57">
      <c r="B57" s="104"/>
    </row>
    <row r="58" ht="37.5" customHeight="1">
      <c r="B58" s="107" t="s">
        <v>228</v>
      </c>
      <c r="D58" s="101"/>
      <c r="E58" s="101"/>
      <c r="F58" s="101"/>
      <c r="G58" s="101"/>
      <c r="H58" s="101"/>
      <c r="I58" s="107" t="s">
        <v>230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Teams!$H$11:$I$13, 2, FALSE)</f>
        <v>Simon</v>
      </c>
      <c r="D60" s="124"/>
      <c r="E60" s="124"/>
      <c r="F60" s="124"/>
      <c r="G60" s="124"/>
      <c r="H60" s="125"/>
      <c r="I60" s="122" t="s">
        <v>175</v>
      </c>
      <c r="J60" s="126" t="str">
        <f>VLOOKUP(I60, Teams!$D$11:$E$13, 2, FALSE)</f>
        <v>Peter W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89" t="s">
        <v>219</v>
      </c>
    </row>
    <row r="61" ht="60.0" customHeight="1">
      <c r="B61" s="122" t="s">
        <v>175</v>
      </c>
      <c r="C61" s="123" t="str">
        <f>VLOOKUP(B61, Teams!$H$11:$I$13, 2, FALSE)</f>
        <v>Harish</v>
      </c>
      <c r="D61" s="124"/>
      <c r="E61" s="124"/>
      <c r="F61" s="124"/>
      <c r="G61" s="131"/>
      <c r="H61" s="125"/>
      <c r="I61" s="122" t="s">
        <v>184</v>
      </c>
      <c r="J61" s="126" t="str">
        <f>VLOOKUP(I61, Teams!$D$11:$E$13, 2, FALSE)</f>
        <v>Rohit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89" t="s">
        <v>220</v>
      </c>
    </row>
    <row r="62" ht="60.0" customHeight="1">
      <c r="B62" s="122" t="s">
        <v>184</v>
      </c>
      <c r="C62" s="123" t="str">
        <f>VLOOKUP(B62, Teams!$H$11:$I$13, 2, FALSE)</f>
        <v>Farhan</v>
      </c>
      <c r="D62" s="124"/>
      <c r="E62" s="124"/>
      <c r="F62" s="124"/>
      <c r="G62" s="131"/>
      <c r="H62" s="125"/>
      <c r="I62" s="122" t="s">
        <v>193</v>
      </c>
      <c r="J62" s="126" t="str">
        <f>VLOOKUP(I62, Teams!$D$11:$E$13, 2, FALSE)</f>
        <v>Peter A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89" t="s">
        <v>219</v>
      </c>
    </row>
    <row r="63" ht="60.0" customHeight="1">
      <c r="B63" s="122" t="s">
        <v>193</v>
      </c>
      <c r="C63" s="123" t="str">
        <f>VLOOKUP(B63, Teams!$H$11:$I$13, 2, FALSE)</f>
        <v>Simon</v>
      </c>
      <c r="D63" s="124"/>
      <c r="E63" s="124"/>
      <c r="F63" s="124"/>
      <c r="G63" s="131"/>
      <c r="H63" s="125"/>
      <c r="I63" s="122" t="s">
        <v>184</v>
      </c>
      <c r="J63" s="126" t="str">
        <f>VLOOKUP(I63, Teams!$D$11:$E$13, 2, FALSE)</f>
        <v>Rohit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89" t="s">
        <v>220</v>
      </c>
    </row>
    <row r="64" ht="60.0" customHeight="1">
      <c r="B64" s="134" t="s">
        <v>184</v>
      </c>
      <c r="C64" s="123" t="str">
        <f>VLOOKUP(B64, Teams!$H$11:$I$13, 2, FALSE)</f>
        <v>Farhan</v>
      </c>
      <c r="D64" s="124"/>
      <c r="E64" s="124"/>
      <c r="F64" s="124"/>
      <c r="G64" s="131"/>
      <c r="H64" s="125"/>
      <c r="I64" s="122" t="s">
        <v>175</v>
      </c>
      <c r="J64" s="126" t="str">
        <f>VLOOKUP(I64, Teams!$D$11:$E$13, 2, FALSE)</f>
        <v>Peter W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89" t="s">
        <v>219</v>
      </c>
    </row>
    <row r="65" ht="60.0" customHeight="1">
      <c r="B65" s="134" t="s">
        <v>175</v>
      </c>
      <c r="C65" s="123" t="str">
        <f>VLOOKUP(B65, Teams!$H$11:$I$13, 2, FALSE)</f>
        <v>Harish</v>
      </c>
      <c r="D65" s="124"/>
      <c r="E65" s="124"/>
      <c r="F65" s="124"/>
      <c r="G65" s="131"/>
      <c r="H65" s="125"/>
      <c r="I65" s="122" t="s">
        <v>193</v>
      </c>
      <c r="J65" s="126" t="str">
        <f>VLOOKUP(I65, Teams!$D$11:$E$13, 2, FALSE)</f>
        <v>Peter A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89" t="s">
        <v>220</v>
      </c>
    </row>
    <row r="66" ht="60.0" customHeight="1">
      <c r="B66" s="134" t="s">
        <v>184</v>
      </c>
      <c r="C66" s="123" t="str">
        <f>VLOOKUP(B66, Teams!$H$11:$I$13, 2, FALSE)</f>
        <v>Farhan</v>
      </c>
      <c r="D66" s="124"/>
      <c r="E66" s="124"/>
      <c r="F66" s="124"/>
      <c r="G66" s="131"/>
      <c r="H66" s="125"/>
      <c r="I66" s="134" t="s">
        <v>184</v>
      </c>
      <c r="J66" s="126" t="str">
        <f>VLOOKUP(I66, Teams!$D$11:$E$13, 2, FALSE)</f>
        <v>Rohit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89" t="s">
        <v>219</v>
      </c>
    </row>
    <row r="67" ht="60.0" customHeight="1">
      <c r="B67" s="122" t="s">
        <v>193</v>
      </c>
      <c r="C67" s="123" t="str">
        <f>VLOOKUP(B67, Teams!$H$11:$I$13, 2, FALSE)</f>
        <v>Simon</v>
      </c>
      <c r="D67" s="124"/>
      <c r="E67" s="124"/>
      <c r="F67" s="124"/>
      <c r="G67" s="131"/>
      <c r="H67" s="125"/>
      <c r="I67" s="122" t="s">
        <v>193</v>
      </c>
      <c r="J67" s="126" t="str">
        <f>VLOOKUP(I67, Teams!$D$11:$E$13, 2, FALSE)</f>
        <v>Peter A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89" t="s">
        <v>220</v>
      </c>
    </row>
    <row r="68" ht="60.0" customHeight="1">
      <c r="B68" s="135" t="s">
        <v>175</v>
      </c>
      <c r="C68" s="201" t="str">
        <f>VLOOKUP(B68, Teams!$H$11:$I$13, 2, FALSE)</f>
        <v>Harish</v>
      </c>
      <c r="D68" s="180"/>
      <c r="E68" s="180"/>
      <c r="F68" s="180"/>
      <c r="G68" s="180"/>
      <c r="H68" s="181"/>
      <c r="I68" s="182" t="s">
        <v>175</v>
      </c>
      <c r="J68" s="201" t="str">
        <f>VLOOKUP(I68, Teams!$D$11:$E$13, 2, FALSE)</f>
        <v>Peter W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90" t="s">
        <v>219</v>
      </c>
    </row>
    <row r="69" ht="37.5" customHeight="1">
      <c r="B69" s="144" t="s">
        <v>221</v>
      </c>
      <c r="C69" s="196" t="str">
        <f>C68</f>
        <v>Harish</v>
      </c>
      <c r="D69" s="199"/>
      <c r="E69" s="199"/>
      <c r="F69" s="199"/>
      <c r="G69" s="199"/>
      <c r="H69" s="199"/>
      <c r="I69" s="200" t="s">
        <v>221</v>
      </c>
      <c r="J69" s="196" t="str">
        <f>J68</f>
        <v>Peter W</v>
      </c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04"/>
      <c r="W69" s="194" t="s">
        <v>236</v>
      </c>
    </row>
    <row r="70" ht="37.5" customHeight="1">
      <c r="B70" s="153"/>
      <c r="C70" s="197" t="str">
        <f>C66</f>
        <v>Farhan</v>
      </c>
      <c r="D70" s="155"/>
      <c r="E70" s="155"/>
      <c r="F70" s="155"/>
      <c r="G70" s="155"/>
      <c r="H70" s="155"/>
      <c r="I70" s="153"/>
      <c r="J70" s="197" t="str">
        <f>J66</f>
        <v>Rohit</v>
      </c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6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  <row r="73" ht="33.0" customHeight="1"/>
  </sheetData>
  <mergeCells count="124">
    <mergeCell ref="Q15:Q16"/>
    <mergeCell ref="R15:R16"/>
    <mergeCell ref="Q18:T18"/>
    <mergeCell ref="S20:T20"/>
    <mergeCell ref="U20:V20"/>
    <mergeCell ref="H15:H16"/>
    <mergeCell ref="I15:I16"/>
    <mergeCell ref="B20:H20"/>
    <mergeCell ref="B21:W21"/>
    <mergeCell ref="B22:H22"/>
    <mergeCell ref="I22:O22"/>
    <mergeCell ref="Q22:R22"/>
    <mergeCell ref="R33:R34"/>
    <mergeCell ref="S33:S34"/>
    <mergeCell ref="T33:T34"/>
    <mergeCell ref="U33:U34"/>
    <mergeCell ref="V33:V34"/>
    <mergeCell ref="W33:W34"/>
    <mergeCell ref="Q36:T36"/>
    <mergeCell ref="G33:G34"/>
    <mergeCell ref="H33:H34"/>
    <mergeCell ref="M33:M34"/>
    <mergeCell ref="N33:N34"/>
    <mergeCell ref="O33:O34"/>
    <mergeCell ref="P33:P34"/>
    <mergeCell ref="Q33:Q34"/>
    <mergeCell ref="B2:H2"/>
    <mergeCell ref="J2:L2"/>
    <mergeCell ref="S2:T2"/>
    <mergeCell ref="U2:V2"/>
    <mergeCell ref="B3:W3"/>
    <mergeCell ref="B4:H4"/>
    <mergeCell ref="I4:O4"/>
    <mergeCell ref="U4:V4"/>
    <mergeCell ref="M15:M16"/>
    <mergeCell ref="N15:N16"/>
    <mergeCell ref="O15:O16"/>
    <mergeCell ref="P15:P16"/>
    <mergeCell ref="S15:S16"/>
    <mergeCell ref="T15:T16"/>
    <mergeCell ref="U15:U16"/>
    <mergeCell ref="V15:V16"/>
    <mergeCell ref="W15:W16"/>
    <mergeCell ref="Q4:R4"/>
    <mergeCell ref="S4:T4"/>
    <mergeCell ref="B15:B16"/>
    <mergeCell ref="D15:D16"/>
    <mergeCell ref="E15:E16"/>
    <mergeCell ref="F15:F16"/>
    <mergeCell ref="G15:G16"/>
    <mergeCell ref="S22:T22"/>
    <mergeCell ref="U22:V22"/>
    <mergeCell ref="Q40:R40"/>
    <mergeCell ref="S40:T40"/>
    <mergeCell ref="B38:H38"/>
    <mergeCell ref="J38:L38"/>
    <mergeCell ref="S38:T38"/>
    <mergeCell ref="U38:V38"/>
    <mergeCell ref="B39:W39"/>
    <mergeCell ref="B40:H40"/>
    <mergeCell ref="I40:O40"/>
    <mergeCell ref="U40:V40"/>
    <mergeCell ref="I69:I70"/>
    <mergeCell ref="K69:K70"/>
    <mergeCell ref="G51:G52"/>
    <mergeCell ref="B56:H56"/>
    <mergeCell ref="J56:L56"/>
    <mergeCell ref="B69:B70"/>
    <mergeCell ref="D69:D70"/>
    <mergeCell ref="E69:E70"/>
    <mergeCell ref="F69:F70"/>
    <mergeCell ref="L69:L70"/>
    <mergeCell ref="K15:K16"/>
    <mergeCell ref="L15:L16"/>
    <mergeCell ref="J20:L20"/>
    <mergeCell ref="B33:B34"/>
    <mergeCell ref="D33:D34"/>
    <mergeCell ref="E33:E34"/>
    <mergeCell ref="F33:F34"/>
    <mergeCell ref="L33:L34"/>
    <mergeCell ref="H51:H52"/>
    <mergeCell ref="I51:I52"/>
    <mergeCell ref="L51:L52"/>
    <mergeCell ref="M51:M52"/>
    <mergeCell ref="N51:N52"/>
    <mergeCell ref="O51:O52"/>
    <mergeCell ref="P51:P52"/>
    <mergeCell ref="I33:I34"/>
    <mergeCell ref="K33:K34"/>
    <mergeCell ref="B51:B52"/>
    <mergeCell ref="D51:D52"/>
    <mergeCell ref="E51:E52"/>
    <mergeCell ref="F51:F52"/>
    <mergeCell ref="K51:K52"/>
    <mergeCell ref="Q51:Q52"/>
    <mergeCell ref="R51:R52"/>
    <mergeCell ref="S51:S52"/>
    <mergeCell ref="T51:T52"/>
    <mergeCell ref="U51:U52"/>
    <mergeCell ref="V51:V52"/>
    <mergeCell ref="W51:W52"/>
    <mergeCell ref="S58:T58"/>
    <mergeCell ref="U58:V58"/>
    <mergeCell ref="Q54:T54"/>
    <mergeCell ref="S56:T56"/>
    <mergeCell ref="U56:V56"/>
    <mergeCell ref="B57:W57"/>
    <mergeCell ref="B58:C58"/>
    <mergeCell ref="I58:J58"/>
    <mergeCell ref="Q58:R58"/>
    <mergeCell ref="R69:R70"/>
    <mergeCell ref="S69:S70"/>
    <mergeCell ref="T69:T70"/>
    <mergeCell ref="U69:U70"/>
    <mergeCell ref="V69:V70"/>
    <mergeCell ref="W69:W70"/>
    <mergeCell ref="Q72:T72"/>
    <mergeCell ref="G69:G70"/>
    <mergeCell ref="H69:H70"/>
    <mergeCell ref="M69:M70"/>
    <mergeCell ref="N69:N70"/>
    <mergeCell ref="O69:O70"/>
    <mergeCell ref="P69:P70"/>
    <mergeCell ref="Q69:Q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5.75"/>
    <col customWidth="1" min="3" max="3" width="15.25"/>
    <col customWidth="1" min="4" max="8" width="9.5"/>
    <col customWidth="1" min="9" max="9" width="5.75"/>
    <col customWidth="1" min="10" max="10" width="16.88"/>
    <col customWidth="1" min="11" max="15" width="9.5"/>
    <col customWidth="1" min="16" max="16" width="17.88"/>
    <col customWidth="1" min="17" max="22" width="9.5"/>
    <col customWidth="1" min="23" max="23" width="18.0"/>
  </cols>
  <sheetData>
    <row r="2">
      <c r="B2" s="167" t="s">
        <v>202</v>
      </c>
      <c r="H2" s="96"/>
      <c r="I2" s="168" t="s">
        <v>203</v>
      </c>
      <c r="J2" s="169">
        <v>45987.0</v>
      </c>
      <c r="M2" s="170" t="s">
        <v>204</v>
      </c>
      <c r="N2" s="171">
        <v>7.0</v>
      </c>
      <c r="O2" s="104"/>
      <c r="P2" s="170" t="s">
        <v>205</v>
      </c>
      <c r="Q2" s="172">
        <v>1.0</v>
      </c>
      <c r="R2" s="173"/>
      <c r="S2" s="174"/>
      <c r="U2" s="173"/>
      <c r="W2" s="104"/>
    </row>
    <row r="3">
      <c r="B3" s="104"/>
    </row>
    <row r="4" ht="37.5" customHeight="1">
      <c r="B4" s="107" t="s">
        <v>226</v>
      </c>
      <c r="I4" s="107" t="s">
        <v>237</v>
      </c>
      <c r="P4" s="104"/>
      <c r="Q4" s="108" t="s">
        <v>208</v>
      </c>
      <c r="R4" s="109"/>
      <c r="S4" s="110" t="s">
        <v>209</v>
      </c>
      <c r="T4" s="109"/>
      <c r="U4" s="110" t="s">
        <v>210</v>
      </c>
      <c r="V4" s="111"/>
      <c r="W4" s="112" t="s">
        <v>211</v>
      </c>
    </row>
    <row r="5" ht="37.5" customHeight="1">
      <c r="B5" s="113"/>
      <c r="C5" s="114" t="s">
        <v>212</v>
      </c>
      <c r="D5" s="115" t="s">
        <v>213</v>
      </c>
      <c r="E5" s="115" t="s">
        <v>214</v>
      </c>
      <c r="F5" s="115" t="s">
        <v>215</v>
      </c>
      <c r="G5" s="115" t="s">
        <v>216</v>
      </c>
      <c r="H5" s="116" t="s">
        <v>217</v>
      </c>
      <c r="I5" s="117"/>
      <c r="J5" s="114" t="s">
        <v>212</v>
      </c>
      <c r="K5" s="115" t="s">
        <v>213</v>
      </c>
      <c r="L5" s="115" t="s">
        <v>214</v>
      </c>
      <c r="M5" s="115" t="s">
        <v>215</v>
      </c>
      <c r="N5" s="115" t="s">
        <v>216</v>
      </c>
      <c r="O5" s="118" t="s">
        <v>217</v>
      </c>
      <c r="P5" s="118" t="s">
        <v>218</v>
      </c>
      <c r="Q5" s="119" t="s">
        <v>219</v>
      </c>
      <c r="R5" s="120" t="s">
        <v>220</v>
      </c>
      <c r="S5" s="115" t="s">
        <v>219</v>
      </c>
      <c r="T5" s="118" t="s">
        <v>220</v>
      </c>
      <c r="U5" s="115" t="s">
        <v>219</v>
      </c>
      <c r="V5" s="118" t="s">
        <v>220</v>
      </c>
      <c r="W5" s="121"/>
    </row>
    <row r="6" ht="60.0" customHeight="1">
      <c r="B6" s="122" t="s">
        <v>193</v>
      </c>
      <c r="C6" s="123" t="str">
        <f>VLOOKUP(B6, Teams!$L$11:$M$13, 2, FALSE)</f>
        <v>Michael C</v>
      </c>
      <c r="D6" s="175"/>
      <c r="E6" s="175"/>
      <c r="F6" s="175"/>
      <c r="G6" s="175"/>
      <c r="H6" s="176"/>
      <c r="I6" s="177" t="s">
        <v>175</v>
      </c>
      <c r="J6" s="126" t="str">
        <f>VLOOKUP(I6, Teams!$B$11:$C$13, 2, FALSE)</f>
        <v>Darcy</v>
      </c>
      <c r="K6" s="124"/>
      <c r="L6" s="124"/>
      <c r="M6" s="124"/>
      <c r="N6" s="124"/>
      <c r="O6" s="121"/>
      <c r="P6" s="127"/>
      <c r="Q6" s="128"/>
      <c r="R6" s="129"/>
      <c r="S6" s="124"/>
      <c r="T6" s="130"/>
      <c r="U6" s="131"/>
      <c r="V6" s="125"/>
      <c r="W6" s="189" t="s">
        <v>219</v>
      </c>
    </row>
    <row r="7" ht="60.0" customHeight="1">
      <c r="B7" s="122" t="s">
        <v>175</v>
      </c>
      <c r="C7" s="123" t="str">
        <f>VLOOKUP(B7, Teams!$L$11:$M$13, 2, FALSE)</f>
        <v>Mick R</v>
      </c>
      <c r="D7" s="175"/>
      <c r="E7" s="175"/>
      <c r="F7" s="175"/>
      <c r="G7" s="178"/>
      <c r="H7" s="176"/>
      <c r="I7" s="177" t="s">
        <v>184</v>
      </c>
      <c r="J7" s="126" t="str">
        <f>VLOOKUP(I7, Teams!$B$11:$C$13, 2, FALSE)</f>
        <v>Andrew</v>
      </c>
      <c r="K7" s="124"/>
      <c r="L7" s="124"/>
      <c r="M7" s="124"/>
      <c r="N7" s="131"/>
      <c r="O7" s="121"/>
      <c r="P7" s="127"/>
      <c r="Q7" s="128"/>
      <c r="R7" s="133"/>
      <c r="S7" s="124"/>
      <c r="T7" s="130"/>
      <c r="U7" s="131"/>
      <c r="V7" s="125"/>
      <c r="W7" s="189" t="s">
        <v>220</v>
      </c>
    </row>
    <row r="8" ht="60.0" customHeight="1">
      <c r="B8" s="122" t="s">
        <v>184</v>
      </c>
      <c r="C8" s="123" t="str">
        <f>VLOOKUP(B8, Teams!$L$11:$M$13, 2, FALSE)</f>
        <v>Paula</v>
      </c>
      <c r="D8" s="175"/>
      <c r="E8" s="175"/>
      <c r="F8" s="175"/>
      <c r="G8" s="178"/>
      <c r="H8" s="176"/>
      <c r="I8" s="177" t="s">
        <v>193</v>
      </c>
      <c r="J8" s="126" t="str">
        <f>VLOOKUP(I8, Teams!$B$11:$C$13, 2, FALSE)</f>
        <v>Jaydon</v>
      </c>
      <c r="K8" s="124"/>
      <c r="L8" s="124"/>
      <c r="M8" s="124"/>
      <c r="N8" s="131"/>
      <c r="O8" s="121"/>
      <c r="P8" s="127"/>
      <c r="Q8" s="128"/>
      <c r="R8" s="133"/>
      <c r="S8" s="124"/>
      <c r="T8" s="130"/>
      <c r="U8" s="131"/>
      <c r="V8" s="125"/>
      <c r="W8" s="189" t="s">
        <v>219</v>
      </c>
    </row>
    <row r="9" ht="60.0" customHeight="1">
      <c r="B9" s="122" t="s">
        <v>193</v>
      </c>
      <c r="C9" s="123" t="str">
        <f>VLOOKUP(B9, Teams!$L$11:$M$13, 2, FALSE)</f>
        <v>Michael C</v>
      </c>
      <c r="D9" s="175"/>
      <c r="E9" s="175"/>
      <c r="F9" s="175"/>
      <c r="G9" s="178"/>
      <c r="H9" s="176"/>
      <c r="I9" s="177" t="s">
        <v>184</v>
      </c>
      <c r="J9" s="126" t="str">
        <f>VLOOKUP(I9, Teams!$B$11:$C$13, 2, FALSE)</f>
        <v>Andrew</v>
      </c>
      <c r="K9" s="124"/>
      <c r="L9" s="124"/>
      <c r="M9" s="124"/>
      <c r="N9" s="131"/>
      <c r="O9" s="121"/>
      <c r="P9" s="127"/>
      <c r="Q9" s="128"/>
      <c r="R9" s="133"/>
      <c r="S9" s="124"/>
      <c r="T9" s="130"/>
      <c r="U9" s="131"/>
      <c r="V9" s="125"/>
      <c r="W9" s="189" t="s">
        <v>220</v>
      </c>
    </row>
    <row r="10" ht="60.0" customHeight="1">
      <c r="B10" s="134" t="s">
        <v>184</v>
      </c>
      <c r="C10" s="123" t="str">
        <f>VLOOKUP(B10, Teams!$L$11:$M$13, 2, FALSE)</f>
        <v>Paula</v>
      </c>
      <c r="D10" s="175"/>
      <c r="E10" s="175"/>
      <c r="F10" s="175"/>
      <c r="G10" s="178"/>
      <c r="H10" s="176"/>
      <c r="I10" s="177" t="s">
        <v>175</v>
      </c>
      <c r="J10" s="126" t="str">
        <f>VLOOKUP(I10, Teams!$B$11:$C$13, 2, FALSE)</f>
        <v>Darcy</v>
      </c>
      <c r="K10" s="124"/>
      <c r="L10" s="124"/>
      <c r="M10" s="124"/>
      <c r="N10" s="131"/>
      <c r="O10" s="121"/>
      <c r="P10" s="127"/>
      <c r="Q10" s="128"/>
      <c r="R10" s="133"/>
      <c r="S10" s="124"/>
      <c r="T10" s="130"/>
      <c r="U10" s="131"/>
      <c r="V10" s="125"/>
      <c r="W10" s="189" t="s">
        <v>219</v>
      </c>
    </row>
    <row r="11" ht="60.0" customHeight="1">
      <c r="B11" s="134" t="s">
        <v>175</v>
      </c>
      <c r="C11" s="123" t="str">
        <f>VLOOKUP(B7, Teams!$L$11:$M$13, 2, FALSE)</f>
        <v>Mick R</v>
      </c>
      <c r="D11" s="175"/>
      <c r="E11" s="175"/>
      <c r="F11" s="175"/>
      <c r="G11" s="178"/>
      <c r="H11" s="176"/>
      <c r="I11" s="177" t="s">
        <v>193</v>
      </c>
      <c r="J11" s="126" t="str">
        <f>VLOOKUP(I11, Teams!$B$11:$C$13, 2, FALSE)</f>
        <v>Jaydon</v>
      </c>
      <c r="K11" s="124"/>
      <c r="L11" s="124"/>
      <c r="M11" s="124"/>
      <c r="N11" s="131"/>
      <c r="O11" s="121"/>
      <c r="P11" s="127"/>
      <c r="Q11" s="128"/>
      <c r="R11" s="133"/>
      <c r="S11" s="124"/>
      <c r="T11" s="130"/>
      <c r="U11" s="131"/>
      <c r="V11" s="125"/>
      <c r="W11" s="189" t="s">
        <v>220</v>
      </c>
    </row>
    <row r="12" ht="60.0" customHeight="1">
      <c r="B12" s="134" t="s">
        <v>184</v>
      </c>
      <c r="C12" s="123" t="str">
        <f>VLOOKUP(B12, Teams!$L$11:$M$13, 2, FALSE)</f>
        <v>Paula</v>
      </c>
      <c r="D12" s="175"/>
      <c r="E12" s="175"/>
      <c r="F12" s="175"/>
      <c r="G12" s="178"/>
      <c r="H12" s="176"/>
      <c r="I12" s="179" t="s">
        <v>184</v>
      </c>
      <c r="J12" s="126" t="str">
        <f>VLOOKUP(I12, Teams!$B$11:$C$13, 2, FALSE)</f>
        <v>Andrew</v>
      </c>
      <c r="K12" s="124"/>
      <c r="L12" s="124"/>
      <c r="M12" s="124"/>
      <c r="N12" s="131"/>
      <c r="O12" s="121"/>
      <c r="P12" s="127"/>
      <c r="Q12" s="128"/>
      <c r="R12" s="133"/>
      <c r="S12" s="124"/>
      <c r="T12" s="130"/>
      <c r="U12" s="131"/>
      <c r="V12" s="125"/>
      <c r="W12" s="189" t="s">
        <v>219</v>
      </c>
    </row>
    <row r="13" ht="60.0" customHeight="1">
      <c r="B13" s="122" t="s">
        <v>193</v>
      </c>
      <c r="C13" s="123" t="str">
        <f>VLOOKUP(B13, Teams!$L$11:$M$13, 2, FALSE)</f>
        <v>Michael C</v>
      </c>
      <c r="D13" s="175"/>
      <c r="E13" s="175"/>
      <c r="F13" s="175"/>
      <c r="G13" s="178"/>
      <c r="H13" s="176"/>
      <c r="I13" s="177" t="s">
        <v>193</v>
      </c>
      <c r="J13" s="126" t="str">
        <f>VLOOKUP(I13, Teams!$B$11:$C$13, 2, FALSE)</f>
        <v>Jaydon</v>
      </c>
      <c r="K13" s="124"/>
      <c r="L13" s="124"/>
      <c r="M13" s="124"/>
      <c r="N13" s="131"/>
      <c r="O13" s="121"/>
      <c r="P13" s="127"/>
      <c r="Q13" s="128"/>
      <c r="R13" s="133"/>
      <c r="S13" s="124"/>
      <c r="T13" s="130"/>
      <c r="U13" s="131"/>
      <c r="V13" s="121"/>
      <c r="W13" s="189" t="s">
        <v>220</v>
      </c>
    </row>
    <row r="14" ht="60.0" customHeight="1">
      <c r="B14" s="135" t="s">
        <v>175</v>
      </c>
      <c r="C14" s="136" t="str">
        <f>VLOOKUP(B7, Teams!$L$11:$M$13, 2, FALSE)</f>
        <v>Mick R</v>
      </c>
      <c r="D14" s="180"/>
      <c r="E14" s="180"/>
      <c r="F14" s="180"/>
      <c r="G14" s="180"/>
      <c r="H14" s="181"/>
      <c r="I14" s="182" t="s">
        <v>175</v>
      </c>
      <c r="J14" s="202" t="str">
        <f>VLOOKUP(I14, Teams!$B$11:$C$13, 2, FALSE)</f>
        <v>Darcy</v>
      </c>
      <c r="K14" s="137"/>
      <c r="L14" s="137"/>
      <c r="M14" s="137"/>
      <c r="N14" s="137"/>
      <c r="O14" s="139"/>
      <c r="P14" s="140"/>
      <c r="Q14" s="137"/>
      <c r="R14" s="137"/>
      <c r="S14" s="137"/>
      <c r="T14" s="141"/>
      <c r="U14" s="142"/>
      <c r="V14" s="139"/>
      <c r="W14" s="190" t="s">
        <v>219</v>
      </c>
    </row>
    <row r="15" ht="37.5" customHeight="1">
      <c r="B15" s="144" t="s">
        <v>221</v>
      </c>
      <c r="C15" s="196" t="str">
        <f>C14</f>
        <v>Mick R</v>
      </c>
      <c r="D15" s="192"/>
      <c r="E15" s="192"/>
      <c r="F15" s="192"/>
      <c r="G15" s="192"/>
      <c r="H15" s="192"/>
      <c r="I15" s="193" t="s">
        <v>221</v>
      </c>
      <c r="J15" s="196" t="str">
        <f>J14</f>
        <v>Darcy</v>
      </c>
      <c r="K15" s="146"/>
      <c r="L15" s="146"/>
      <c r="M15" s="146"/>
      <c r="N15" s="146"/>
      <c r="O15" s="147"/>
      <c r="P15" s="148"/>
      <c r="Q15" s="149"/>
      <c r="R15" s="146"/>
      <c r="S15" s="146"/>
      <c r="T15" s="147"/>
      <c r="U15" s="150"/>
      <c r="V15" s="104"/>
      <c r="W15" s="194" t="s">
        <v>236</v>
      </c>
    </row>
    <row r="16" ht="37.5" customHeight="1">
      <c r="B16" s="153"/>
      <c r="C16" s="197" t="str">
        <f>C12</f>
        <v>Paula</v>
      </c>
      <c r="D16" s="155"/>
      <c r="E16" s="155"/>
      <c r="F16" s="155"/>
      <c r="G16" s="155"/>
      <c r="H16" s="155"/>
      <c r="I16" s="153"/>
      <c r="J16" s="197" t="str">
        <f>J12</f>
        <v>Andrew</v>
      </c>
      <c r="K16" s="155"/>
      <c r="L16" s="155"/>
      <c r="M16" s="155"/>
      <c r="N16" s="155"/>
      <c r="O16" s="156"/>
      <c r="P16" s="157"/>
      <c r="Q16" s="158"/>
      <c r="R16" s="155"/>
      <c r="S16" s="155"/>
      <c r="T16" s="156"/>
      <c r="U16" s="153"/>
      <c r="V16" s="156"/>
      <c r="W16" s="159"/>
    </row>
    <row r="17" ht="60.0" customHeight="1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64" t="s">
        <v>222</v>
      </c>
      <c r="Q17" s="147"/>
      <c r="R17" s="147"/>
      <c r="S17" s="147"/>
      <c r="T17" s="147"/>
      <c r="U17" s="104"/>
      <c r="V17" s="104"/>
      <c r="W17" s="104"/>
    </row>
    <row r="18" ht="60.0" customHeight="1">
      <c r="J18" s="161"/>
      <c r="K18" s="162"/>
      <c r="L18" s="162"/>
      <c r="M18" s="162"/>
      <c r="N18" s="162"/>
      <c r="O18" s="162"/>
      <c r="P18" s="165" t="s">
        <v>223</v>
      </c>
      <c r="Q18" s="125"/>
      <c r="R18" s="156"/>
      <c r="S18" s="156"/>
      <c r="T18" s="156"/>
      <c r="U18" s="162"/>
      <c r="V18" s="162"/>
      <c r="W18" s="162"/>
    </row>
    <row r="19" ht="36.0" customHeight="1"/>
    <row r="20">
      <c r="B20" s="167" t="s">
        <v>202</v>
      </c>
      <c r="H20" s="96"/>
      <c r="I20" s="168" t="s">
        <v>203</v>
      </c>
      <c r="J20" s="169">
        <v>45956.0</v>
      </c>
      <c r="M20" s="170" t="s">
        <v>204</v>
      </c>
      <c r="N20" s="172">
        <f>N2</f>
        <v>7</v>
      </c>
      <c r="O20" s="104"/>
      <c r="P20" s="170" t="s">
        <v>205</v>
      </c>
      <c r="Q20" s="171">
        <v>2.0</v>
      </c>
      <c r="R20" s="173"/>
      <c r="S20" s="174"/>
      <c r="U20" s="173"/>
      <c r="W20" s="104"/>
    </row>
    <row r="21">
      <c r="B21" s="104"/>
    </row>
    <row r="22" ht="37.5" customHeight="1">
      <c r="B22" s="107" t="s">
        <v>238</v>
      </c>
      <c r="I22" s="107" t="s">
        <v>225</v>
      </c>
      <c r="P22" s="104"/>
      <c r="Q22" s="108" t="s">
        <v>208</v>
      </c>
      <c r="R22" s="109"/>
      <c r="S22" s="110" t="s">
        <v>209</v>
      </c>
      <c r="T22" s="109"/>
      <c r="U22" s="110" t="s">
        <v>210</v>
      </c>
      <c r="V22" s="111"/>
      <c r="W22" s="112" t="s">
        <v>211</v>
      </c>
    </row>
    <row r="23" ht="37.5" customHeight="1">
      <c r="B23" s="113"/>
      <c r="C23" s="114" t="s">
        <v>212</v>
      </c>
      <c r="D23" s="115" t="s">
        <v>213</v>
      </c>
      <c r="E23" s="115" t="s">
        <v>214</v>
      </c>
      <c r="F23" s="115" t="s">
        <v>215</v>
      </c>
      <c r="G23" s="115" t="s">
        <v>216</v>
      </c>
      <c r="H23" s="116" t="s">
        <v>217</v>
      </c>
      <c r="I23" s="117"/>
      <c r="J23" s="114" t="s">
        <v>212</v>
      </c>
      <c r="K23" s="115" t="s">
        <v>213</v>
      </c>
      <c r="L23" s="115" t="s">
        <v>214</v>
      </c>
      <c r="M23" s="115" t="s">
        <v>215</v>
      </c>
      <c r="N23" s="115" t="s">
        <v>216</v>
      </c>
      <c r="O23" s="118" t="s">
        <v>217</v>
      </c>
      <c r="P23" s="118" t="s">
        <v>218</v>
      </c>
      <c r="Q23" s="119" t="s">
        <v>219</v>
      </c>
      <c r="R23" s="120" t="s">
        <v>220</v>
      </c>
      <c r="S23" s="115" t="s">
        <v>219</v>
      </c>
      <c r="T23" s="118" t="s">
        <v>220</v>
      </c>
      <c r="U23" s="115" t="s">
        <v>219</v>
      </c>
      <c r="V23" s="118" t="s">
        <v>220</v>
      </c>
      <c r="W23" s="121"/>
    </row>
    <row r="24" ht="60.0" customHeight="1">
      <c r="B24" s="122" t="s">
        <v>193</v>
      </c>
      <c r="C24" s="123" t="str">
        <f>VLOOKUP(B24, Teams!$P$11:$Q$13, 2, FALSE)</f>
        <v>Peter H</v>
      </c>
      <c r="D24" s="175"/>
      <c r="E24" s="175"/>
      <c r="F24" s="175"/>
      <c r="G24" s="175"/>
      <c r="H24" s="176"/>
      <c r="I24" s="177" t="s">
        <v>175</v>
      </c>
      <c r="J24" s="126" t="str">
        <f>VLOOKUP(I24, Teams!$F$11:$G$13, 2, FALSE)</f>
        <v>Dheep</v>
      </c>
      <c r="K24" s="124"/>
      <c r="L24" s="124"/>
      <c r="M24" s="124"/>
      <c r="N24" s="124"/>
      <c r="O24" s="121"/>
      <c r="P24" s="127"/>
      <c r="Q24" s="128"/>
      <c r="R24" s="129"/>
      <c r="S24" s="124"/>
      <c r="T24" s="130"/>
      <c r="U24" s="131"/>
      <c r="V24" s="125"/>
      <c r="W24" s="189" t="s">
        <v>219</v>
      </c>
    </row>
    <row r="25" ht="60.0" customHeight="1">
      <c r="B25" s="122" t="s">
        <v>175</v>
      </c>
      <c r="C25" s="123" t="str">
        <f>VLOOKUP(B25, Teams!$P$11:$Q$13, 2, FALSE)</f>
        <v>Richard</v>
      </c>
      <c r="D25" s="175"/>
      <c r="E25" s="175"/>
      <c r="F25" s="175"/>
      <c r="G25" s="178"/>
      <c r="H25" s="176"/>
      <c r="I25" s="177" t="s">
        <v>184</v>
      </c>
      <c r="J25" s="126" t="str">
        <f>VLOOKUP(I25, Teams!$F$11:$G$13, 2, FALSE)</f>
        <v>Reece</v>
      </c>
      <c r="K25" s="124"/>
      <c r="L25" s="124"/>
      <c r="M25" s="124"/>
      <c r="N25" s="131"/>
      <c r="O25" s="121"/>
      <c r="P25" s="127"/>
      <c r="Q25" s="128"/>
      <c r="R25" s="133"/>
      <c r="S25" s="124"/>
      <c r="T25" s="130"/>
      <c r="U25" s="131"/>
      <c r="V25" s="125"/>
      <c r="W25" s="189" t="s">
        <v>220</v>
      </c>
    </row>
    <row r="26" ht="60.0" customHeight="1">
      <c r="B26" s="122" t="s">
        <v>184</v>
      </c>
      <c r="C26" s="123" t="str">
        <f>VLOOKUP(B26, Teams!$P$11:$Q$13, 2, FALSE)</f>
        <v>Bo C</v>
      </c>
      <c r="D26" s="175"/>
      <c r="E26" s="175"/>
      <c r="F26" s="175"/>
      <c r="G26" s="178"/>
      <c r="H26" s="176"/>
      <c r="I26" s="177" t="s">
        <v>193</v>
      </c>
      <c r="J26" s="126" t="str">
        <f>VLOOKUP(I26, Teams!$F$11:$G$13, 2, FALSE)</f>
        <v>Tilly (R)</v>
      </c>
      <c r="K26" s="124"/>
      <c r="L26" s="124"/>
      <c r="M26" s="124"/>
      <c r="N26" s="131"/>
      <c r="O26" s="121"/>
      <c r="P26" s="127"/>
      <c r="Q26" s="128"/>
      <c r="R26" s="133"/>
      <c r="S26" s="124"/>
      <c r="T26" s="130"/>
      <c r="U26" s="131"/>
      <c r="V26" s="125"/>
      <c r="W26" s="189" t="s">
        <v>219</v>
      </c>
    </row>
    <row r="27" ht="60.0" customHeight="1">
      <c r="B27" s="122" t="s">
        <v>193</v>
      </c>
      <c r="C27" s="123" t="str">
        <f>VLOOKUP(B27, Teams!$P$11:$Q$13, 2, FALSE)</f>
        <v>Peter H</v>
      </c>
      <c r="D27" s="175"/>
      <c r="E27" s="175"/>
      <c r="F27" s="175"/>
      <c r="G27" s="178"/>
      <c r="H27" s="176"/>
      <c r="I27" s="177" t="s">
        <v>184</v>
      </c>
      <c r="J27" s="126" t="str">
        <f>VLOOKUP(I27, Teams!$F$11:$G$13, 2, FALSE)</f>
        <v>Reece</v>
      </c>
      <c r="K27" s="124"/>
      <c r="L27" s="124"/>
      <c r="M27" s="124"/>
      <c r="N27" s="131"/>
      <c r="O27" s="121"/>
      <c r="P27" s="127"/>
      <c r="Q27" s="128"/>
      <c r="R27" s="133"/>
      <c r="S27" s="124"/>
      <c r="T27" s="130"/>
      <c r="U27" s="131"/>
      <c r="V27" s="125"/>
      <c r="W27" s="189" t="s">
        <v>220</v>
      </c>
    </row>
    <row r="28" ht="60.0" customHeight="1">
      <c r="B28" s="134" t="s">
        <v>184</v>
      </c>
      <c r="C28" s="123" t="str">
        <f>VLOOKUP(B28, Teams!$P$11:$Q$13, 2, FALSE)</f>
        <v>Bo C</v>
      </c>
      <c r="D28" s="175"/>
      <c r="E28" s="175"/>
      <c r="F28" s="175"/>
      <c r="G28" s="178"/>
      <c r="H28" s="176"/>
      <c r="I28" s="177" t="s">
        <v>175</v>
      </c>
      <c r="J28" s="126" t="str">
        <f>VLOOKUP(I28, Teams!$F$11:$G$13, 2, FALSE)</f>
        <v>Dheep</v>
      </c>
      <c r="K28" s="124"/>
      <c r="L28" s="124"/>
      <c r="M28" s="124"/>
      <c r="N28" s="131"/>
      <c r="O28" s="121"/>
      <c r="P28" s="127"/>
      <c r="Q28" s="128"/>
      <c r="R28" s="133"/>
      <c r="S28" s="124"/>
      <c r="T28" s="130"/>
      <c r="U28" s="131"/>
      <c r="V28" s="125"/>
      <c r="W28" s="189" t="s">
        <v>219</v>
      </c>
    </row>
    <row r="29" ht="60.0" customHeight="1">
      <c r="B29" s="134" t="s">
        <v>175</v>
      </c>
      <c r="C29" s="123" t="str">
        <f>VLOOKUP(B29, Teams!$P$11:$Q$13, 2, FALSE)</f>
        <v>Richard</v>
      </c>
      <c r="D29" s="175"/>
      <c r="E29" s="175"/>
      <c r="F29" s="175"/>
      <c r="G29" s="178"/>
      <c r="H29" s="176"/>
      <c r="I29" s="177" t="s">
        <v>193</v>
      </c>
      <c r="J29" s="126" t="str">
        <f>VLOOKUP(I29, Teams!$F$11:$G$13, 2, FALSE)</f>
        <v>Tilly (R)</v>
      </c>
      <c r="K29" s="124"/>
      <c r="L29" s="124"/>
      <c r="M29" s="124"/>
      <c r="N29" s="131"/>
      <c r="O29" s="121"/>
      <c r="P29" s="127"/>
      <c r="Q29" s="128"/>
      <c r="R29" s="133"/>
      <c r="S29" s="124"/>
      <c r="T29" s="130"/>
      <c r="U29" s="131"/>
      <c r="V29" s="125"/>
      <c r="W29" s="189" t="s">
        <v>220</v>
      </c>
    </row>
    <row r="30" ht="60.0" customHeight="1">
      <c r="B30" s="134" t="s">
        <v>184</v>
      </c>
      <c r="C30" s="123" t="str">
        <f>VLOOKUP(B30, Teams!$P$11:$Q$13, 2, FALSE)</f>
        <v>Bo C</v>
      </c>
      <c r="D30" s="175"/>
      <c r="E30" s="175"/>
      <c r="F30" s="175"/>
      <c r="G30" s="178"/>
      <c r="H30" s="176"/>
      <c r="I30" s="179" t="s">
        <v>184</v>
      </c>
      <c r="J30" s="126" t="str">
        <f>VLOOKUP(I30, Teams!$F$11:$G$13, 2, FALSE)</f>
        <v>Reece</v>
      </c>
      <c r="K30" s="124"/>
      <c r="L30" s="124"/>
      <c r="M30" s="124"/>
      <c r="N30" s="131"/>
      <c r="O30" s="121"/>
      <c r="P30" s="127"/>
      <c r="Q30" s="128"/>
      <c r="R30" s="133"/>
      <c r="S30" s="124"/>
      <c r="T30" s="130"/>
      <c r="U30" s="131"/>
      <c r="V30" s="125"/>
      <c r="W30" s="189" t="s">
        <v>219</v>
      </c>
    </row>
    <row r="31" ht="60.0" customHeight="1">
      <c r="B31" s="122" t="s">
        <v>193</v>
      </c>
      <c r="C31" s="123" t="str">
        <f>VLOOKUP(B31, Teams!$P$11:$Q$13, 2, FALSE)</f>
        <v>Peter H</v>
      </c>
      <c r="D31" s="175"/>
      <c r="E31" s="175"/>
      <c r="F31" s="175"/>
      <c r="G31" s="178"/>
      <c r="H31" s="176"/>
      <c r="I31" s="177" t="s">
        <v>193</v>
      </c>
      <c r="J31" s="126" t="str">
        <f>VLOOKUP(I31, Teams!$F$11:$G$13, 2, FALSE)</f>
        <v>Tilly (R)</v>
      </c>
      <c r="K31" s="124"/>
      <c r="L31" s="124"/>
      <c r="M31" s="124"/>
      <c r="N31" s="131"/>
      <c r="O31" s="121"/>
      <c r="P31" s="127"/>
      <c r="Q31" s="128"/>
      <c r="R31" s="133"/>
      <c r="S31" s="124"/>
      <c r="T31" s="130"/>
      <c r="U31" s="131"/>
      <c r="V31" s="121"/>
      <c r="W31" s="189" t="s">
        <v>220</v>
      </c>
    </row>
    <row r="32" ht="60.0" customHeight="1">
      <c r="B32" s="135" t="s">
        <v>175</v>
      </c>
      <c r="C32" s="201" t="str">
        <f>VLOOKUP(B32, Teams!$P$11:$Q$13, 2, FALSE)</f>
        <v>Richard</v>
      </c>
      <c r="D32" s="180"/>
      <c r="E32" s="180"/>
      <c r="F32" s="180"/>
      <c r="G32" s="180"/>
      <c r="H32" s="181"/>
      <c r="I32" s="182" t="s">
        <v>175</v>
      </c>
      <c r="J32" s="202" t="str">
        <f>VLOOKUP(I32, Teams!$F$11:$G$13, 2, FALSE)</f>
        <v>Dheep</v>
      </c>
      <c r="K32" s="137"/>
      <c r="L32" s="137"/>
      <c r="M32" s="137"/>
      <c r="N32" s="137"/>
      <c r="O32" s="139"/>
      <c r="P32" s="140"/>
      <c r="Q32" s="137"/>
      <c r="R32" s="137"/>
      <c r="S32" s="137"/>
      <c r="T32" s="141"/>
      <c r="U32" s="142"/>
      <c r="V32" s="139"/>
      <c r="W32" s="190" t="s">
        <v>219</v>
      </c>
    </row>
    <row r="33" ht="37.5" customHeight="1">
      <c r="B33" s="144" t="s">
        <v>221</v>
      </c>
      <c r="C33" s="196" t="str">
        <f>C32</f>
        <v>Richard</v>
      </c>
      <c r="D33" s="146"/>
      <c r="E33" s="146"/>
      <c r="F33" s="146"/>
      <c r="G33" s="146"/>
      <c r="H33" s="146"/>
      <c r="I33" s="144" t="s">
        <v>221</v>
      </c>
      <c r="J33" s="196" t="str">
        <f>J32</f>
        <v>Dheep</v>
      </c>
      <c r="K33" s="146"/>
      <c r="L33" s="146"/>
      <c r="M33" s="146"/>
      <c r="N33" s="146"/>
      <c r="O33" s="147"/>
      <c r="P33" s="148"/>
      <c r="Q33" s="149"/>
      <c r="R33" s="146"/>
      <c r="S33" s="146"/>
      <c r="T33" s="147"/>
      <c r="U33" s="150"/>
      <c r="V33" s="104"/>
      <c r="W33" s="194" t="s">
        <v>236</v>
      </c>
    </row>
    <row r="34" ht="37.5" customHeight="1">
      <c r="B34" s="153"/>
      <c r="C34" s="197" t="str">
        <f>C30</f>
        <v>Bo C</v>
      </c>
      <c r="D34" s="155"/>
      <c r="E34" s="155"/>
      <c r="F34" s="155"/>
      <c r="G34" s="155"/>
      <c r="H34" s="155"/>
      <c r="I34" s="153"/>
      <c r="J34" s="197" t="str">
        <f>J30</f>
        <v>Reece</v>
      </c>
      <c r="K34" s="155"/>
      <c r="L34" s="155"/>
      <c r="M34" s="155"/>
      <c r="N34" s="155"/>
      <c r="O34" s="156"/>
      <c r="P34" s="157"/>
      <c r="Q34" s="158"/>
      <c r="R34" s="155"/>
      <c r="S34" s="155"/>
      <c r="T34" s="156"/>
      <c r="U34" s="153"/>
      <c r="V34" s="156"/>
      <c r="W34" s="159"/>
    </row>
    <row r="35" ht="60.0" customHeight="1">
      <c r="B35" s="104"/>
      <c r="C35" s="104"/>
      <c r="D35" s="104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64" t="s">
        <v>222</v>
      </c>
      <c r="Q35" s="147"/>
      <c r="R35" s="147"/>
      <c r="S35" s="147"/>
      <c r="T35" s="147"/>
      <c r="U35" s="104"/>
      <c r="V35" s="104"/>
      <c r="W35" s="104"/>
    </row>
    <row r="36" ht="60.0" customHeight="1">
      <c r="J36" s="161"/>
      <c r="K36" s="162"/>
      <c r="L36" s="162"/>
      <c r="M36" s="162"/>
      <c r="N36" s="162"/>
      <c r="O36" s="162"/>
      <c r="P36" s="165" t="s">
        <v>223</v>
      </c>
      <c r="Q36" s="125"/>
      <c r="R36" s="156"/>
      <c r="S36" s="156"/>
      <c r="T36" s="156"/>
      <c r="U36" s="162"/>
      <c r="V36" s="162"/>
      <c r="W36" s="162"/>
    </row>
    <row r="37" ht="31.5" customHeight="1"/>
    <row r="38">
      <c r="B38" s="167" t="s">
        <v>202</v>
      </c>
      <c r="H38" s="96"/>
      <c r="I38" s="168" t="s">
        <v>203</v>
      </c>
      <c r="J38" s="169">
        <v>45956.0</v>
      </c>
      <c r="M38" s="170" t="s">
        <v>204</v>
      </c>
      <c r="N38" s="172">
        <f>N2</f>
        <v>7</v>
      </c>
      <c r="O38" s="104"/>
      <c r="P38" s="170" t="s">
        <v>205</v>
      </c>
      <c r="Q38" s="171">
        <v>3.0</v>
      </c>
      <c r="R38" s="173"/>
      <c r="S38" s="174"/>
      <c r="U38" s="173"/>
      <c r="W38" s="104"/>
    </row>
    <row r="39">
      <c r="B39" s="104"/>
    </row>
    <row r="40" ht="37.5" customHeight="1">
      <c r="B40" s="107" t="s">
        <v>235</v>
      </c>
      <c r="I40" s="107" t="s">
        <v>232</v>
      </c>
      <c r="P40" s="104"/>
      <c r="Q40" s="108" t="s">
        <v>208</v>
      </c>
      <c r="R40" s="109"/>
      <c r="S40" s="110" t="s">
        <v>209</v>
      </c>
      <c r="T40" s="109"/>
      <c r="U40" s="110" t="s">
        <v>210</v>
      </c>
      <c r="V40" s="111"/>
      <c r="W40" s="112" t="s">
        <v>211</v>
      </c>
    </row>
    <row r="41" ht="37.5" customHeight="1">
      <c r="B41" s="113"/>
      <c r="C41" s="114" t="s">
        <v>212</v>
      </c>
      <c r="D41" s="115" t="s">
        <v>213</v>
      </c>
      <c r="E41" s="115" t="s">
        <v>214</v>
      </c>
      <c r="F41" s="115" t="s">
        <v>215</v>
      </c>
      <c r="G41" s="115" t="s">
        <v>216</v>
      </c>
      <c r="H41" s="116" t="s">
        <v>217</v>
      </c>
      <c r="I41" s="117"/>
      <c r="J41" s="114" t="s">
        <v>212</v>
      </c>
      <c r="K41" s="115" t="s">
        <v>213</v>
      </c>
      <c r="L41" s="115" t="s">
        <v>214</v>
      </c>
      <c r="M41" s="183" t="s">
        <v>215</v>
      </c>
      <c r="N41" s="115" t="s">
        <v>216</v>
      </c>
      <c r="O41" s="118" t="s">
        <v>217</v>
      </c>
      <c r="P41" s="118" t="s">
        <v>218</v>
      </c>
      <c r="Q41" s="119" t="s">
        <v>219</v>
      </c>
      <c r="R41" s="120" t="s">
        <v>220</v>
      </c>
      <c r="S41" s="115" t="s">
        <v>219</v>
      </c>
      <c r="T41" s="118" t="s">
        <v>220</v>
      </c>
      <c r="U41" s="115" t="s">
        <v>219</v>
      </c>
      <c r="V41" s="118" t="s">
        <v>220</v>
      </c>
      <c r="W41" s="121"/>
    </row>
    <row r="42" ht="60.0" customHeight="1">
      <c r="B42" s="177" t="s">
        <v>193</v>
      </c>
      <c r="C42" s="123" t="str">
        <f>VLOOKUP(B42, Teams!$N$11:$O$13, 2, FALSE)</f>
        <v>Kyle</v>
      </c>
      <c r="D42" s="175"/>
      <c r="E42" s="175"/>
      <c r="F42" s="175"/>
      <c r="G42" s="175"/>
      <c r="H42" s="176"/>
      <c r="I42" s="177" t="s">
        <v>175</v>
      </c>
      <c r="J42" s="123" t="str">
        <f>VLOOKUP(I42, Teams!$H$11:$I$13, 2, FALSE)</f>
        <v>Harish</v>
      </c>
      <c r="K42" s="124"/>
      <c r="L42" s="124"/>
      <c r="M42" s="124"/>
      <c r="N42" s="124"/>
      <c r="O42" s="121"/>
      <c r="P42" s="127"/>
      <c r="Q42" s="128"/>
      <c r="R42" s="129"/>
      <c r="S42" s="124"/>
      <c r="T42" s="130"/>
      <c r="U42" s="131"/>
      <c r="V42" s="125"/>
      <c r="W42" s="189" t="s">
        <v>219</v>
      </c>
    </row>
    <row r="43" ht="60.0" customHeight="1">
      <c r="B43" s="177" t="s">
        <v>175</v>
      </c>
      <c r="C43" s="123" t="str">
        <f>VLOOKUP(B43, Teams!$N$11:$O$13, 2, FALSE)</f>
        <v>Bow (R)</v>
      </c>
      <c r="D43" s="175"/>
      <c r="E43" s="175"/>
      <c r="F43" s="175"/>
      <c r="G43" s="178"/>
      <c r="H43" s="176"/>
      <c r="I43" s="177" t="s">
        <v>184</v>
      </c>
      <c r="J43" s="123" t="str">
        <f>VLOOKUP(I43, Teams!$H$11:$I$13, 2, FALSE)</f>
        <v>Farhan</v>
      </c>
      <c r="K43" s="124"/>
      <c r="L43" s="124"/>
      <c r="M43" s="124"/>
      <c r="N43" s="131"/>
      <c r="O43" s="121"/>
      <c r="P43" s="127"/>
      <c r="Q43" s="128"/>
      <c r="R43" s="133"/>
      <c r="S43" s="124"/>
      <c r="T43" s="130"/>
      <c r="U43" s="131"/>
      <c r="V43" s="125"/>
      <c r="W43" s="189" t="s">
        <v>220</v>
      </c>
    </row>
    <row r="44" ht="60.0" customHeight="1">
      <c r="B44" s="177" t="s">
        <v>184</v>
      </c>
      <c r="C44" s="123" t="str">
        <f>VLOOKUP(B44, Teams!$N$11:$O$13, 2, FALSE)</f>
        <v>Nathan</v>
      </c>
      <c r="D44" s="175"/>
      <c r="E44" s="175"/>
      <c r="F44" s="175"/>
      <c r="G44" s="178"/>
      <c r="H44" s="176"/>
      <c r="I44" s="177" t="s">
        <v>193</v>
      </c>
      <c r="J44" s="123" t="str">
        <f>VLOOKUP(I44, Teams!$H$11:$I$13, 2, FALSE)</f>
        <v>Simon</v>
      </c>
      <c r="K44" s="124"/>
      <c r="L44" s="124"/>
      <c r="M44" s="124"/>
      <c r="N44" s="131"/>
      <c r="O44" s="121"/>
      <c r="P44" s="127"/>
      <c r="Q44" s="128"/>
      <c r="R44" s="133"/>
      <c r="S44" s="124"/>
      <c r="T44" s="130"/>
      <c r="U44" s="131"/>
      <c r="V44" s="125"/>
      <c r="W44" s="189" t="s">
        <v>219</v>
      </c>
    </row>
    <row r="45" ht="60.0" customHeight="1">
      <c r="B45" s="177" t="s">
        <v>193</v>
      </c>
      <c r="C45" s="123" t="str">
        <f>VLOOKUP(B45, Teams!$N$11:$O$13, 2, FALSE)</f>
        <v>Kyle</v>
      </c>
      <c r="D45" s="175"/>
      <c r="E45" s="175"/>
      <c r="F45" s="175"/>
      <c r="G45" s="178"/>
      <c r="H45" s="176"/>
      <c r="I45" s="177" t="s">
        <v>184</v>
      </c>
      <c r="J45" s="123" t="str">
        <f>VLOOKUP(I45, Teams!$H$11:$I$13, 2, FALSE)</f>
        <v>Farhan</v>
      </c>
      <c r="K45" s="124"/>
      <c r="L45" s="124"/>
      <c r="M45" s="124"/>
      <c r="N45" s="131"/>
      <c r="O45" s="121"/>
      <c r="P45" s="127"/>
      <c r="Q45" s="128"/>
      <c r="R45" s="133"/>
      <c r="S45" s="124"/>
      <c r="T45" s="130"/>
      <c r="U45" s="131"/>
      <c r="V45" s="125"/>
      <c r="W45" s="189" t="s">
        <v>220</v>
      </c>
    </row>
    <row r="46" ht="60.0" customHeight="1">
      <c r="B46" s="179" t="s">
        <v>184</v>
      </c>
      <c r="C46" s="123" t="str">
        <f>VLOOKUP(B46, Teams!$N$11:$O$13, 2, FALSE)</f>
        <v>Nathan</v>
      </c>
      <c r="D46" s="175"/>
      <c r="E46" s="175"/>
      <c r="F46" s="175"/>
      <c r="G46" s="178"/>
      <c r="H46" s="176"/>
      <c r="I46" s="177" t="s">
        <v>175</v>
      </c>
      <c r="J46" s="123" t="str">
        <f>VLOOKUP(I46, Teams!$H$11:$I$13, 2, FALSE)</f>
        <v>Harish</v>
      </c>
      <c r="K46" s="124"/>
      <c r="L46" s="124"/>
      <c r="M46" s="124"/>
      <c r="N46" s="131"/>
      <c r="O46" s="121"/>
      <c r="P46" s="127"/>
      <c r="Q46" s="128"/>
      <c r="R46" s="133"/>
      <c r="S46" s="124"/>
      <c r="T46" s="130"/>
      <c r="U46" s="131"/>
      <c r="V46" s="125"/>
      <c r="W46" s="189" t="s">
        <v>219</v>
      </c>
    </row>
    <row r="47" ht="60.0" customHeight="1">
      <c r="B47" s="179" t="s">
        <v>175</v>
      </c>
      <c r="C47" s="123" t="str">
        <f>VLOOKUP(B47, Teams!$N$11:$O$13, 2, FALSE)</f>
        <v>Bow (R)</v>
      </c>
      <c r="D47" s="175"/>
      <c r="E47" s="175"/>
      <c r="F47" s="175"/>
      <c r="G47" s="178"/>
      <c r="H47" s="176"/>
      <c r="I47" s="177" t="s">
        <v>193</v>
      </c>
      <c r="J47" s="123" t="str">
        <f>VLOOKUP(I47, Teams!$H$11:$I$13, 2, FALSE)</f>
        <v>Simon</v>
      </c>
      <c r="K47" s="124"/>
      <c r="L47" s="124"/>
      <c r="M47" s="124"/>
      <c r="N47" s="131"/>
      <c r="O47" s="121"/>
      <c r="P47" s="127"/>
      <c r="Q47" s="128"/>
      <c r="R47" s="133"/>
      <c r="S47" s="124"/>
      <c r="T47" s="130"/>
      <c r="U47" s="131"/>
      <c r="V47" s="125"/>
      <c r="W47" s="189" t="s">
        <v>220</v>
      </c>
    </row>
    <row r="48" ht="60.0" customHeight="1">
      <c r="B48" s="179" t="s">
        <v>184</v>
      </c>
      <c r="C48" s="123" t="str">
        <f>VLOOKUP(B48, Teams!$N$11:$O$13, 2, FALSE)</f>
        <v>Nathan</v>
      </c>
      <c r="D48" s="175"/>
      <c r="E48" s="175"/>
      <c r="F48" s="175"/>
      <c r="G48" s="178"/>
      <c r="H48" s="176"/>
      <c r="I48" s="179" t="s">
        <v>184</v>
      </c>
      <c r="J48" s="123" t="str">
        <f>VLOOKUP(I48, Teams!$H$11:$I$13, 2, FALSE)</f>
        <v>Farhan</v>
      </c>
      <c r="K48" s="124"/>
      <c r="L48" s="124"/>
      <c r="M48" s="124"/>
      <c r="N48" s="131"/>
      <c r="O48" s="121"/>
      <c r="P48" s="127"/>
      <c r="Q48" s="128"/>
      <c r="R48" s="133"/>
      <c r="S48" s="124"/>
      <c r="T48" s="130"/>
      <c r="U48" s="131"/>
      <c r="V48" s="125"/>
      <c r="W48" s="189" t="s">
        <v>219</v>
      </c>
    </row>
    <row r="49" ht="60.0" customHeight="1">
      <c r="B49" s="177" t="s">
        <v>193</v>
      </c>
      <c r="C49" s="123" t="str">
        <f>VLOOKUP(B49, Teams!$N$11:$O$13, 2, FALSE)</f>
        <v>Kyle</v>
      </c>
      <c r="D49" s="175"/>
      <c r="E49" s="175"/>
      <c r="F49" s="175"/>
      <c r="G49" s="178"/>
      <c r="H49" s="176"/>
      <c r="I49" s="177" t="s">
        <v>193</v>
      </c>
      <c r="J49" s="123" t="str">
        <f>VLOOKUP(I49, Teams!$H$11:$I$13, 2, FALSE)</f>
        <v>Simon</v>
      </c>
      <c r="K49" s="124"/>
      <c r="L49" s="124"/>
      <c r="M49" s="124"/>
      <c r="N49" s="131"/>
      <c r="O49" s="121"/>
      <c r="P49" s="127"/>
      <c r="Q49" s="128"/>
      <c r="R49" s="133"/>
      <c r="S49" s="124"/>
      <c r="T49" s="130"/>
      <c r="U49" s="131"/>
      <c r="V49" s="121"/>
      <c r="W49" s="189" t="s">
        <v>220</v>
      </c>
    </row>
    <row r="50" ht="60.0" customHeight="1">
      <c r="B50" s="182" t="s">
        <v>175</v>
      </c>
      <c r="C50" s="201" t="str">
        <f>VLOOKUP(B50, Teams!$N$11:$O$13, 2, FALSE)</f>
        <v>Bow (R)</v>
      </c>
      <c r="D50" s="180"/>
      <c r="E50" s="180"/>
      <c r="F50" s="180"/>
      <c r="G50" s="180"/>
      <c r="H50" s="181"/>
      <c r="I50" s="182" t="s">
        <v>175</v>
      </c>
      <c r="J50" s="201" t="str">
        <f>VLOOKUP(I50, Teams!$H$11:$I$13, 2, FALSE)</f>
        <v>Harish</v>
      </c>
      <c r="K50" s="137"/>
      <c r="L50" s="137"/>
      <c r="M50" s="137"/>
      <c r="N50" s="137"/>
      <c r="O50" s="139"/>
      <c r="P50" s="140"/>
      <c r="Q50" s="137"/>
      <c r="R50" s="137"/>
      <c r="S50" s="137"/>
      <c r="T50" s="141"/>
      <c r="U50" s="142"/>
      <c r="V50" s="139"/>
      <c r="W50" s="190" t="s">
        <v>219</v>
      </c>
    </row>
    <row r="51" ht="37.5" customHeight="1">
      <c r="B51" s="188" t="s">
        <v>221</v>
      </c>
      <c r="C51" s="196" t="str">
        <f>C50</f>
        <v>Bow (R)</v>
      </c>
      <c r="D51" s="199"/>
      <c r="E51" s="199"/>
      <c r="F51" s="199"/>
      <c r="G51" s="199"/>
      <c r="H51" s="199"/>
      <c r="I51" s="200" t="s">
        <v>221</v>
      </c>
      <c r="J51" s="196" t="str">
        <f>J50</f>
        <v>Harish</v>
      </c>
      <c r="K51" s="146"/>
      <c r="L51" s="146"/>
      <c r="M51" s="146"/>
      <c r="N51" s="146"/>
      <c r="O51" s="147"/>
      <c r="P51" s="148"/>
      <c r="Q51" s="149"/>
      <c r="R51" s="146"/>
      <c r="S51" s="146"/>
      <c r="T51" s="147"/>
      <c r="U51" s="150"/>
      <c r="V51" s="104"/>
      <c r="W51" s="194" t="s">
        <v>236</v>
      </c>
    </row>
    <row r="52" ht="37.5" customHeight="1">
      <c r="B52" s="153"/>
      <c r="C52" s="197" t="str">
        <f>C48</f>
        <v>Nathan</v>
      </c>
      <c r="D52" s="155"/>
      <c r="E52" s="155"/>
      <c r="F52" s="155"/>
      <c r="G52" s="155"/>
      <c r="H52" s="155"/>
      <c r="I52" s="153"/>
      <c r="J52" s="197" t="str">
        <f>J48</f>
        <v>Farhan</v>
      </c>
      <c r="K52" s="155"/>
      <c r="L52" s="155"/>
      <c r="M52" s="155"/>
      <c r="N52" s="155"/>
      <c r="O52" s="156"/>
      <c r="P52" s="157"/>
      <c r="Q52" s="158"/>
      <c r="R52" s="155"/>
      <c r="S52" s="155"/>
      <c r="T52" s="156"/>
      <c r="U52" s="153"/>
      <c r="V52" s="156"/>
      <c r="W52" s="159"/>
    </row>
    <row r="53" ht="60.0" customHeight="1"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64" t="s">
        <v>222</v>
      </c>
      <c r="Q53" s="147"/>
      <c r="R53" s="147"/>
      <c r="S53" s="147"/>
      <c r="T53" s="147"/>
      <c r="U53" s="104"/>
      <c r="V53" s="104"/>
      <c r="W53" s="104"/>
    </row>
    <row r="54" ht="60.0" customHeight="1">
      <c r="J54" s="161"/>
      <c r="K54" s="162"/>
      <c r="L54" s="162"/>
      <c r="M54" s="162"/>
      <c r="N54" s="162"/>
      <c r="O54" s="162"/>
      <c r="P54" s="165" t="s">
        <v>223</v>
      </c>
      <c r="Q54" s="125"/>
      <c r="R54" s="156"/>
      <c r="S54" s="156"/>
      <c r="T54" s="156"/>
      <c r="U54" s="162"/>
      <c r="V54" s="162"/>
      <c r="W54" s="162"/>
    </row>
    <row r="55" ht="33.0" customHeight="1"/>
    <row r="56">
      <c r="B56" s="167" t="s">
        <v>202</v>
      </c>
      <c r="H56" s="96"/>
      <c r="I56" s="168" t="s">
        <v>203</v>
      </c>
      <c r="J56" s="169">
        <v>45956.0</v>
      </c>
      <c r="M56" s="170" t="s">
        <v>204</v>
      </c>
      <c r="N56" s="172">
        <f>N2</f>
        <v>7</v>
      </c>
      <c r="O56" s="104"/>
      <c r="P56" s="170" t="s">
        <v>205</v>
      </c>
      <c r="Q56" s="171">
        <v>4.0</v>
      </c>
      <c r="R56" s="173"/>
      <c r="S56" s="174"/>
      <c r="U56" s="173"/>
      <c r="W56" s="104"/>
    </row>
    <row r="57">
      <c r="B57" s="104"/>
    </row>
    <row r="58" ht="37.5" customHeight="1">
      <c r="B58" s="107" t="s">
        <v>233</v>
      </c>
      <c r="D58" s="101"/>
      <c r="E58" s="101"/>
      <c r="F58" s="101"/>
      <c r="G58" s="101"/>
      <c r="H58" s="101"/>
      <c r="I58" s="107" t="s">
        <v>230</v>
      </c>
      <c r="K58" s="104"/>
      <c r="L58" s="104"/>
      <c r="M58" s="104"/>
      <c r="N58" s="104"/>
      <c r="O58" s="104"/>
      <c r="P58" s="104"/>
      <c r="Q58" s="108" t="s">
        <v>208</v>
      </c>
      <c r="R58" s="109"/>
      <c r="S58" s="110" t="s">
        <v>209</v>
      </c>
      <c r="T58" s="109"/>
      <c r="U58" s="110" t="s">
        <v>210</v>
      </c>
      <c r="V58" s="111"/>
      <c r="W58" s="112" t="s">
        <v>211</v>
      </c>
    </row>
    <row r="59" ht="37.5" customHeight="1">
      <c r="B59" s="113"/>
      <c r="C59" s="114" t="s">
        <v>212</v>
      </c>
      <c r="D59" s="115" t="s">
        <v>213</v>
      </c>
      <c r="E59" s="115" t="s">
        <v>214</v>
      </c>
      <c r="F59" s="115" t="s">
        <v>215</v>
      </c>
      <c r="G59" s="115" t="s">
        <v>216</v>
      </c>
      <c r="H59" s="116" t="s">
        <v>217</v>
      </c>
      <c r="I59" s="117"/>
      <c r="J59" s="114" t="s">
        <v>212</v>
      </c>
      <c r="K59" s="115" t="s">
        <v>213</v>
      </c>
      <c r="L59" s="115" t="s">
        <v>214</v>
      </c>
      <c r="M59" s="115" t="s">
        <v>215</v>
      </c>
      <c r="N59" s="115" t="s">
        <v>216</v>
      </c>
      <c r="O59" s="118" t="s">
        <v>217</v>
      </c>
      <c r="P59" s="118" t="s">
        <v>218</v>
      </c>
      <c r="Q59" s="119" t="s">
        <v>219</v>
      </c>
      <c r="R59" s="120" t="s">
        <v>220</v>
      </c>
      <c r="S59" s="115" t="s">
        <v>219</v>
      </c>
      <c r="T59" s="118" t="s">
        <v>220</v>
      </c>
      <c r="U59" s="115" t="s">
        <v>219</v>
      </c>
      <c r="V59" s="118" t="s">
        <v>220</v>
      </c>
      <c r="W59" s="121"/>
    </row>
    <row r="60" ht="60.0" customHeight="1">
      <c r="B60" s="122" t="s">
        <v>193</v>
      </c>
      <c r="C60" s="123" t="str">
        <f>VLOOKUP(B60, Teams!$J$11:$K$13, 2, FALSE)</f>
        <v>Angela</v>
      </c>
      <c r="D60" s="124"/>
      <c r="E60" s="124"/>
      <c r="F60" s="124"/>
      <c r="G60" s="124"/>
      <c r="H60" s="125"/>
      <c r="I60" s="122" t="s">
        <v>175</v>
      </c>
      <c r="J60" s="126" t="str">
        <f>VLOOKUP(I60, Teams!$D$11:$E$13, 2, FALSE)</f>
        <v>Peter W</v>
      </c>
      <c r="K60" s="124"/>
      <c r="L60" s="124"/>
      <c r="M60" s="124"/>
      <c r="N60" s="124"/>
      <c r="O60" s="121"/>
      <c r="P60" s="127"/>
      <c r="Q60" s="128"/>
      <c r="R60" s="129"/>
      <c r="S60" s="124"/>
      <c r="T60" s="130"/>
      <c r="U60" s="131"/>
      <c r="V60" s="125"/>
      <c r="W60" s="189" t="s">
        <v>219</v>
      </c>
    </row>
    <row r="61" ht="60.0" customHeight="1">
      <c r="B61" s="122" t="s">
        <v>175</v>
      </c>
      <c r="C61" s="123" t="str">
        <f>VLOOKUP(B61, Teams!$J$11:$K$13, 2, FALSE)</f>
        <v>Aarya (R)</v>
      </c>
      <c r="D61" s="124"/>
      <c r="E61" s="124"/>
      <c r="F61" s="124"/>
      <c r="G61" s="131"/>
      <c r="H61" s="125"/>
      <c r="I61" s="122" t="s">
        <v>184</v>
      </c>
      <c r="J61" s="126" t="str">
        <f>VLOOKUP(I61, Teams!$D$11:$E$13, 2, FALSE)</f>
        <v>Rohit</v>
      </c>
      <c r="K61" s="124"/>
      <c r="L61" s="124"/>
      <c r="M61" s="124"/>
      <c r="N61" s="131"/>
      <c r="O61" s="121"/>
      <c r="P61" s="127"/>
      <c r="Q61" s="128"/>
      <c r="R61" s="133"/>
      <c r="S61" s="124"/>
      <c r="T61" s="130"/>
      <c r="U61" s="131"/>
      <c r="V61" s="125"/>
      <c r="W61" s="189" t="s">
        <v>220</v>
      </c>
    </row>
    <row r="62" ht="60.0" customHeight="1">
      <c r="B62" s="122" t="s">
        <v>184</v>
      </c>
      <c r="C62" s="123" t="str">
        <f>VLOOKUP(B62, Teams!$J$11:$K$13, 2, FALSE)</f>
        <v>John</v>
      </c>
      <c r="D62" s="124"/>
      <c r="E62" s="124"/>
      <c r="F62" s="124"/>
      <c r="G62" s="131"/>
      <c r="H62" s="125"/>
      <c r="I62" s="122" t="s">
        <v>193</v>
      </c>
      <c r="J62" s="126" t="str">
        <f>VLOOKUP(I62, Teams!$D$11:$E$13, 2, FALSE)</f>
        <v>Peter A</v>
      </c>
      <c r="K62" s="124"/>
      <c r="L62" s="124"/>
      <c r="M62" s="124"/>
      <c r="N62" s="131"/>
      <c r="O62" s="121"/>
      <c r="P62" s="127"/>
      <c r="Q62" s="128"/>
      <c r="R62" s="133"/>
      <c r="S62" s="124"/>
      <c r="T62" s="130"/>
      <c r="U62" s="131"/>
      <c r="V62" s="125"/>
      <c r="W62" s="189" t="s">
        <v>219</v>
      </c>
    </row>
    <row r="63" ht="60.0" customHeight="1">
      <c r="B63" s="122" t="s">
        <v>193</v>
      </c>
      <c r="C63" s="123" t="str">
        <f>VLOOKUP(B63, Teams!$J$11:$K$13, 2, FALSE)</f>
        <v>Angela</v>
      </c>
      <c r="D63" s="124"/>
      <c r="E63" s="124"/>
      <c r="F63" s="124"/>
      <c r="G63" s="131"/>
      <c r="H63" s="125"/>
      <c r="I63" s="122" t="s">
        <v>184</v>
      </c>
      <c r="J63" s="126" t="str">
        <f>VLOOKUP(I63, Teams!$D$11:$E$13, 2, FALSE)</f>
        <v>Rohit</v>
      </c>
      <c r="K63" s="124"/>
      <c r="L63" s="124"/>
      <c r="M63" s="124"/>
      <c r="N63" s="131"/>
      <c r="O63" s="121"/>
      <c r="P63" s="127"/>
      <c r="Q63" s="128"/>
      <c r="R63" s="133"/>
      <c r="S63" s="124"/>
      <c r="T63" s="130"/>
      <c r="U63" s="131"/>
      <c r="V63" s="125"/>
      <c r="W63" s="189" t="s">
        <v>220</v>
      </c>
    </row>
    <row r="64" ht="60.0" customHeight="1">
      <c r="B64" s="134" t="s">
        <v>184</v>
      </c>
      <c r="C64" s="123" t="str">
        <f>VLOOKUP(B64, Teams!$J$11:$K$13, 2, FALSE)</f>
        <v>John</v>
      </c>
      <c r="D64" s="124"/>
      <c r="E64" s="124"/>
      <c r="F64" s="124"/>
      <c r="G64" s="131"/>
      <c r="H64" s="125"/>
      <c r="I64" s="122" t="s">
        <v>175</v>
      </c>
      <c r="J64" s="126" t="str">
        <f>VLOOKUP(I64, Teams!$D$11:$E$13, 2, FALSE)</f>
        <v>Peter W</v>
      </c>
      <c r="K64" s="124"/>
      <c r="L64" s="124"/>
      <c r="M64" s="124"/>
      <c r="N64" s="131"/>
      <c r="O64" s="121"/>
      <c r="P64" s="127"/>
      <c r="Q64" s="128"/>
      <c r="R64" s="133"/>
      <c r="S64" s="124"/>
      <c r="T64" s="130"/>
      <c r="U64" s="131"/>
      <c r="V64" s="125"/>
      <c r="W64" s="189" t="s">
        <v>219</v>
      </c>
    </row>
    <row r="65" ht="60.0" customHeight="1">
      <c r="B65" s="134" t="s">
        <v>175</v>
      </c>
      <c r="C65" s="123" t="str">
        <f>VLOOKUP(B65, Teams!$J$11:$K$13, 2, FALSE)</f>
        <v>Aarya (R)</v>
      </c>
      <c r="D65" s="124"/>
      <c r="E65" s="124"/>
      <c r="F65" s="124"/>
      <c r="G65" s="131"/>
      <c r="H65" s="125"/>
      <c r="I65" s="122" t="s">
        <v>193</v>
      </c>
      <c r="J65" s="126" t="str">
        <f>VLOOKUP(I65, Teams!$D$11:$E$13, 2, FALSE)</f>
        <v>Peter A</v>
      </c>
      <c r="K65" s="124"/>
      <c r="L65" s="124"/>
      <c r="M65" s="124"/>
      <c r="N65" s="131"/>
      <c r="O65" s="121"/>
      <c r="P65" s="127"/>
      <c r="Q65" s="128"/>
      <c r="R65" s="133"/>
      <c r="S65" s="124"/>
      <c r="T65" s="130"/>
      <c r="U65" s="131"/>
      <c r="V65" s="125"/>
      <c r="W65" s="189" t="s">
        <v>220</v>
      </c>
    </row>
    <row r="66" ht="60.0" customHeight="1">
      <c r="B66" s="134" t="s">
        <v>184</v>
      </c>
      <c r="C66" s="123" t="str">
        <f>VLOOKUP(B66, Teams!$J$11:$K$13, 2, FALSE)</f>
        <v>John</v>
      </c>
      <c r="D66" s="124"/>
      <c r="E66" s="124"/>
      <c r="F66" s="124"/>
      <c r="G66" s="131"/>
      <c r="H66" s="125"/>
      <c r="I66" s="134" t="s">
        <v>184</v>
      </c>
      <c r="J66" s="126" t="str">
        <f>VLOOKUP(I66, Teams!$D$11:$E$13, 2, FALSE)</f>
        <v>Rohit</v>
      </c>
      <c r="K66" s="124"/>
      <c r="L66" s="124"/>
      <c r="M66" s="124"/>
      <c r="N66" s="131"/>
      <c r="O66" s="121"/>
      <c r="P66" s="127"/>
      <c r="Q66" s="128"/>
      <c r="R66" s="133"/>
      <c r="S66" s="124"/>
      <c r="T66" s="130"/>
      <c r="U66" s="131"/>
      <c r="V66" s="125"/>
      <c r="W66" s="189" t="s">
        <v>219</v>
      </c>
    </row>
    <row r="67" ht="60.0" customHeight="1">
      <c r="B67" s="122" t="s">
        <v>193</v>
      </c>
      <c r="C67" s="123" t="str">
        <f>VLOOKUP(B67, Teams!$J$11:$K$13, 2, FALSE)</f>
        <v>Angela</v>
      </c>
      <c r="D67" s="124"/>
      <c r="E67" s="124"/>
      <c r="F67" s="124"/>
      <c r="G67" s="131"/>
      <c r="H67" s="125"/>
      <c r="I67" s="122" t="s">
        <v>193</v>
      </c>
      <c r="J67" s="126" t="str">
        <f>VLOOKUP(I67, Teams!$D$11:$E$13, 2, FALSE)</f>
        <v>Peter A</v>
      </c>
      <c r="K67" s="124"/>
      <c r="L67" s="124"/>
      <c r="M67" s="124"/>
      <c r="N67" s="131"/>
      <c r="O67" s="121"/>
      <c r="P67" s="127"/>
      <c r="Q67" s="128"/>
      <c r="R67" s="133"/>
      <c r="S67" s="124"/>
      <c r="T67" s="130"/>
      <c r="U67" s="131"/>
      <c r="V67" s="121"/>
      <c r="W67" s="189" t="s">
        <v>220</v>
      </c>
    </row>
    <row r="68" ht="60.0" customHeight="1">
      <c r="B68" s="135" t="s">
        <v>175</v>
      </c>
      <c r="C68" s="201" t="str">
        <f>VLOOKUP(B68, Teams!$J$11:$K$13, 2, FALSE)</f>
        <v>Aarya (R)</v>
      </c>
      <c r="D68" s="180"/>
      <c r="E68" s="180"/>
      <c r="F68" s="180"/>
      <c r="G68" s="180"/>
      <c r="H68" s="181"/>
      <c r="I68" s="182" t="s">
        <v>175</v>
      </c>
      <c r="J68" s="201" t="str">
        <f>VLOOKUP(I68, Teams!$D$11:$E$13, 2, FALSE)</f>
        <v>Peter W</v>
      </c>
      <c r="K68" s="137"/>
      <c r="L68" s="137"/>
      <c r="M68" s="137"/>
      <c r="N68" s="137"/>
      <c r="O68" s="139"/>
      <c r="P68" s="140"/>
      <c r="Q68" s="137"/>
      <c r="R68" s="137"/>
      <c r="S68" s="137"/>
      <c r="T68" s="141"/>
      <c r="U68" s="142"/>
      <c r="V68" s="139"/>
      <c r="W68" s="190" t="s">
        <v>219</v>
      </c>
    </row>
    <row r="69" ht="37.5" customHeight="1">
      <c r="B69" s="144" t="s">
        <v>221</v>
      </c>
      <c r="C69" s="196" t="str">
        <f>C68</f>
        <v>Aarya (R)</v>
      </c>
      <c r="D69" s="199"/>
      <c r="E69" s="199"/>
      <c r="F69" s="199"/>
      <c r="G69" s="199"/>
      <c r="H69" s="199"/>
      <c r="I69" s="200" t="s">
        <v>221</v>
      </c>
      <c r="J69" s="196" t="str">
        <f>J68</f>
        <v>Peter W</v>
      </c>
      <c r="K69" s="146"/>
      <c r="L69" s="146"/>
      <c r="M69" s="146"/>
      <c r="N69" s="146"/>
      <c r="O69" s="147"/>
      <c r="P69" s="148"/>
      <c r="Q69" s="149"/>
      <c r="R69" s="146"/>
      <c r="S69" s="146"/>
      <c r="T69" s="147"/>
      <c r="U69" s="150"/>
      <c r="V69" s="104"/>
      <c r="W69" s="194" t="s">
        <v>236</v>
      </c>
    </row>
    <row r="70" ht="37.5" customHeight="1">
      <c r="B70" s="153"/>
      <c r="C70" s="197" t="str">
        <f>C66</f>
        <v>John</v>
      </c>
      <c r="D70" s="155"/>
      <c r="E70" s="155"/>
      <c r="F70" s="155"/>
      <c r="G70" s="155"/>
      <c r="H70" s="155"/>
      <c r="I70" s="153"/>
      <c r="J70" s="197" t="str">
        <f>J66</f>
        <v>Rohit</v>
      </c>
      <c r="K70" s="155"/>
      <c r="L70" s="155"/>
      <c r="M70" s="155"/>
      <c r="N70" s="155"/>
      <c r="O70" s="156"/>
      <c r="P70" s="157"/>
      <c r="Q70" s="158"/>
      <c r="R70" s="155"/>
      <c r="S70" s="155"/>
      <c r="T70" s="156"/>
      <c r="U70" s="153"/>
      <c r="V70" s="156"/>
      <c r="W70" s="159"/>
    </row>
    <row r="71" ht="60.0" customHeight="1"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64" t="s">
        <v>222</v>
      </c>
      <c r="Q71" s="147"/>
      <c r="R71" s="147"/>
      <c r="S71" s="147"/>
      <c r="T71" s="147"/>
      <c r="U71" s="104"/>
      <c r="V71" s="104"/>
      <c r="W71" s="104"/>
    </row>
    <row r="72" ht="60.0" customHeight="1">
      <c r="J72" s="161"/>
      <c r="K72" s="162"/>
      <c r="L72" s="162"/>
      <c r="M72" s="162"/>
      <c r="N72" s="162"/>
      <c r="O72" s="162"/>
      <c r="P72" s="165" t="s">
        <v>223</v>
      </c>
      <c r="Q72" s="125"/>
      <c r="R72" s="156"/>
      <c r="S72" s="156"/>
      <c r="T72" s="156"/>
      <c r="U72" s="162"/>
      <c r="V72" s="162"/>
      <c r="W72" s="162"/>
    </row>
    <row r="73" ht="33.0" customHeight="1"/>
  </sheetData>
  <mergeCells count="124">
    <mergeCell ref="Q15:Q16"/>
    <mergeCell ref="R15:R16"/>
    <mergeCell ref="Q18:T18"/>
    <mergeCell ref="S20:T20"/>
    <mergeCell ref="U20:V20"/>
    <mergeCell ref="H15:H16"/>
    <mergeCell ref="I15:I16"/>
    <mergeCell ref="B20:H20"/>
    <mergeCell ref="B21:W21"/>
    <mergeCell ref="B22:H22"/>
    <mergeCell ref="I22:O22"/>
    <mergeCell ref="Q22:R22"/>
    <mergeCell ref="R33:R34"/>
    <mergeCell ref="S33:S34"/>
    <mergeCell ref="T33:T34"/>
    <mergeCell ref="U33:U34"/>
    <mergeCell ref="V33:V34"/>
    <mergeCell ref="W33:W34"/>
    <mergeCell ref="Q36:T36"/>
    <mergeCell ref="G33:G34"/>
    <mergeCell ref="H33:H34"/>
    <mergeCell ref="M33:M34"/>
    <mergeCell ref="N33:N34"/>
    <mergeCell ref="O33:O34"/>
    <mergeCell ref="P33:P34"/>
    <mergeCell ref="Q33:Q34"/>
    <mergeCell ref="B2:H2"/>
    <mergeCell ref="J2:L2"/>
    <mergeCell ref="S2:T2"/>
    <mergeCell ref="U2:V2"/>
    <mergeCell ref="B3:W3"/>
    <mergeCell ref="B4:H4"/>
    <mergeCell ref="I4:O4"/>
    <mergeCell ref="U4:V4"/>
    <mergeCell ref="M15:M16"/>
    <mergeCell ref="N15:N16"/>
    <mergeCell ref="O15:O16"/>
    <mergeCell ref="P15:P16"/>
    <mergeCell ref="S15:S16"/>
    <mergeCell ref="T15:T16"/>
    <mergeCell ref="U15:U16"/>
    <mergeCell ref="V15:V16"/>
    <mergeCell ref="W15:W16"/>
    <mergeCell ref="Q4:R4"/>
    <mergeCell ref="S4:T4"/>
    <mergeCell ref="B15:B16"/>
    <mergeCell ref="D15:D16"/>
    <mergeCell ref="E15:E16"/>
    <mergeCell ref="F15:F16"/>
    <mergeCell ref="G15:G16"/>
    <mergeCell ref="S22:T22"/>
    <mergeCell ref="U22:V22"/>
    <mergeCell ref="Q40:R40"/>
    <mergeCell ref="S40:T40"/>
    <mergeCell ref="B38:H38"/>
    <mergeCell ref="J38:L38"/>
    <mergeCell ref="S38:T38"/>
    <mergeCell ref="U38:V38"/>
    <mergeCell ref="B39:W39"/>
    <mergeCell ref="B40:H40"/>
    <mergeCell ref="I40:O40"/>
    <mergeCell ref="U40:V40"/>
    <mergeCell ref="I69:I70"/>
    <mergeCell ref="K69:K70"/>
    <mergeCell ref="G51:G52"/>
    <mergeCell ref="B56:H56"/>
    <mergeCell ref="J56:L56"/>
    <mergeCell ref="B69:B70"/>
    <mergeCell ref="D69:D70"/>
    <mergeCell ref="E69:E70"/>
    <mergeCell ref="F69:F70"/>
    <mergeCell ref="L69:L70"/>
    <mergeCell ref="K15:K16"/>
    <mergeCell ref="L15:L16"/>
    <mergeCell ref="J20:L20"/>
    <mergeCell ref="B33:B34"/>
    <mergeCell ref="D33:D34"/>
    <mergeCell ref="E33:E34"/>
    <mergeCell ref="F33:F34"/>
    <mergeCell ref="L33:L34"/>
    <mergeCell ref="H51:H52"/>
    <mergeCell ref="I51:I52"/>
    <mergeCell ref="L51:L52"/>
    <mergeCell ref="M51:M52"/>
    <mergeCell ref="N51:N52"/>
    <mergeCell ref="O51:O52"/>
    <mergeCell ref="P51:P52"/>
    <mergeCell ref="I33:I34"/>
    <mergeCell ref="K33:K34"/>
    <mergeCell ref="B51:B52"/>
    <mergeCell ref="D51:D52"/>
    <mergeCell ref="E51:E52"/>
    <mergeCell ref="F51:F52"/>
    <mergeCell ref="K51:K52"/>
    <mergeCell ref="Q51:Q52"/>
    <mergeCell ref="R51:R52"/>
    <mergeCell ref="S51:S52"/>
    <mergeCell ref="T51:T52"/>
    <mergeCell ref="U51:U52"/>
    <mergeCell ref="V51:V52"/>
    <mergeCell ref="W51:W52"/>
    <mergeCell ref="S58:T58"/>
    <mergeCell ref="U58:V58"/>
    <mergeCell ref="Q54:T54"/>
    <mergeCell ref="S56:T56"/>
    <mergeCell ref="U56:V56"/>
    <mergeCell ref="B57:W57"/>
    <mergeCell ref="B58:C58"/>
    <mergeCell ref="I58:J58"/>
    <mergeCell ref="Q58:R58"/>
    <mergeCell ref="R69:R70"/>
    <mergeCell ref="S69:S70"/>
    <mergeCell ref="T69:T70"/>
    <mergeCell ref="U69:U70"/>
    <mergeCell ref="V69:V70"/>
    <mergeCell ref="W69:W70"/>
    <mergeCell ref="Q72:T72"/>
    <mergeCell ref="G69:G70"/>
    <mergeCell ref="H69:H70"/>
    <mergeCell ref="M69:M70"/>
    <mergeCell ref="N69:N70"/>
    <mergeCell ref="O69:O70"/>
    <mergeCell ref="P69:P70"/>
    <mergeCell ref="Q69:Q70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4.88"/>
    <col customWidth="1" min="3" max="3" width="10.0"/>
    <col customWidth="1" min="4" max="4" width="5.75"/>
    <col customWidth="1" min="5" max="5" width="10.38"/>
    <col customWidth="1" min="6" max="6" width="5.5"/>
    <col customWidth="1" min="7" max="7" width="10.88"/>
    <col customWidth="1" min="8" max="8" width="5.38"/>
    <col customWidth="1" min="9" max="9" width="9.63"/>
    <col customWidth="1" min="10" max="10" width="6.63"/>
    <col customWidth="1" min="11" max="11" width="9.63"/>
    <col customWidth="1" min="12" max="12" width="5.38"/>
    <col customWidth="1" min="13" max="13" width="11.38"/>
    <col customWidth="1" min="14" max="14" width="6.25"/>
    <col customWidth="1" min="15" max="15" width="9.75"/>
    <col customWidth="1" min="16" max="16" width="6.0"/>
    <col customWidth="1" min="17" max="17" width="13.75"/>
    <col customWidth="1" min="18" max="18" width="5.25"/>
    <col customWidth="1" min="19" max="19" width="15.5"/>
    <col customWidth="1" min="20" max="20" width="5.25"/>
    <col customWidth="1" min="21" max="21" width="15.63"/>
    <col customWidth="1" min="22" max="22" width="5.25"/>
    <col customWidth="1" min="23" max="23" width="16.25"/>
    <col customWidth="1" min="24" max="24" width="5.25"/>
    <col customWidth="1" min="25" max="25" width="7.75"/>
    <col customWidth="1" min="26" max="26" width="4.38"/>
    <col customWidth="1" min="27" max="27" width="10.38"/>
    <col customWidth="1" min="28" max="28" width="19.88"/>
    <col customWidth="1" min="29" max="29" width="18.25"/>
    <col customWidth="1" min="30" max="30" width="23.63"/>
    <col customWidth="1" min="31" max="31" width="2.25"/>
    <col customWidth="1" min="32" max="32" width="15.5"/>
    <col customWidth="1" min="33" max="33" width="15.63"/>
    <col customWidth="1" min="34" max="34" width="16.25"/>
  </cols>
  <sheetData>
    <row r="1">
      <c r="A1" s="20" t="s">
        <v>239</v>
      </c>
    </row>
    <row r="2">
      <c r="B2" s="203" t="s">
        <v>161</v>
      </c>
      <c r="C2" s="204"/>
      <c r="D2" s="54"/>
      <c r="E2" s="203" t="s">
        <v>162</v>
      </c>
      <c r="F2" s="205"/>
      <c r="G2" s="204"/>
      <c r="H2" s="54"/>
      <c r="I2" s="203" t="s">
        <v>163</v>
      </c>
      <c r="J2" s="205"/>
      <c r="K2" s="204"/>
      <c r="L2" s="54"/>
      <c r="M2" s="203" t="s">
        <v>164</v>
      </c>
      <c r="N2" s="205"/>
      <c r="O2" s="204"/>
      <c r="P2" s="54"/>
      <c r="Q2" s="203" t="s">
        <v>165</v>
      </c>
      <c r="R2" s="204"/>
      <c r="S2" s="203" t="s">
        <v>166</v>
      </c>
      <c r="T2" s="204"/>
      <c r="U2" s="203" t="s">
        <v>167</v>
      </c>
      <c r="V2" s="204"/>
      <c r="W2" s="203" t="s">
        <v>168</v>
      </c>
      <c r="X2" s="204"/>
      <c r="Z2" s="44"/>
      <c r="AA2" s="206"/>
      <c r="AB2" s="207" t="s">
        <v>240</v>
      </c>
      <c r="AC2" s="207" t="s">
        <v>241</v>
      </c>
      <c r="AD2" s="207" t="s">
        <v>242</v>
      </c>
      <c r="AE2" s="44"/>
      <c r="AF2" s="208" t="s">
        <v>243</v>
      </c>
      <c r="AG2" s="208" t="s">
        <v>244</v>
      </c>
    </row>
    <row r="3" ht="18.75" customHeight="1">
      <c r="B3" s="209" t="s">
        <v>43</v>
      </c>
      <c r="C3" s="210">
        <v>1488.0</v>
      </c>
      <c r="D3" s="211"/>
      <c r="E3" s="209" t="s">
        <v>7</v>
      </c>
      <c r="F3" s="211"/>
      <c r="G3" s="210">
        <v>1427.0</v>
      </c>
      <c r="H3" s="211"/>
      <c r="I3" s="209" t="s">
        <v>47</v>
      </c>
      <c r="J3" s="211"/>
      <c r="K3" s="210">
        <v>1417.0</v>
      </c>
      <c r="L3" s="211"/>
      <c r="M3" s="209" t="s">
        <v>10</v>
      </c>
      <c r="N3" s="211"/>
      <c r="O3" s="210">
        <v>1292.0</v>
      </c>
      <c r="P3" s="211"/>
      <c r="Q3" s="209" t="s">
        <v>11</v>
      </c>
      <c r="R3" s="210">
        <v>1224.0</v>
      </c>
      <c r="S3" s="209" t="s">
        <v>12</v>
      </c>
      <c r="T3" s="210">
        <v>1220.0</v>
      </c>
      <c r="U3" s="209" t="s">
        <v>15</v>
      </c>
      <c r="V3" s="210">
        <v>1191.0</v>
      </c>
      <c r="W3" s="209" t="s">
        <v>13</v>
      </c>
      <c r="X3" s="210">
        <v>1126.0</v>
      </c>
      <c r="Z3" s="44"/>
      <c r="AA3" s="48" t="s">
        <v>161</v>
      </c>
      <c r="AB3" s="212" t="s">
        <v>43</v>
      </c>
      <c r="AC3" s="212" t="s">
        <v>19</v>
      </c>
      <c r="AD3" s="212" t="s">
        <v>245</v>
      </c>
      <c r="AE3" s="213"/>
      <c r="AF3" s="209" t="s">
        <v>43</v>
      </c>
      <c r="AG3" s="209" t="s">
        <v>246</v>
      </c>
    </row>
    <row r="4" ht="18.75" customHeight="1">
      <c r="B4" s="209" t="s">
        <v>19</v>
      </c>
      <c r="C4" s="210">
        <v>1107.0</v>
      </c>
      <c r="D4" s="211"/>
      <c r="E4" s="209" t="s">
        <v>247</v>
      </c>
      <c r="F4" s="211"/>
      <c r="G4" s="210">
        <v>974.0</v>
      </c>
      <c r="H4" s="211"/>
      <c r="I4" s="209" t="s">
        <v>25</v>
      </c>
      <c r="J4" s="211"/>
      <c r="K4" s="210">
        <v>916.0</v>
      </c>
      <c r="L4" s="211"/>
      <c r="M4" s="209" t="s">
        <v>20</v>
      </c>
      <c r="N4" s="211"/>
      <c r="O4" s="210">
        <v>987.0</v>
      </c>
      <c r="P4" s="211"/>
      <c r="Q4" s="209" t="s">
        <v>18</v>
      </c>
      <c r="R4" s="210">
        <v>1044.0</v>
      </c>
      <c r="S4" s="209" t="s">
        <v>248</v>
      </c>
      <c r="T4" s="210">
        <v>970.0</v>
      </c>
      <c r="U4" s="209" t="s">
        <v>21</v>
      </c>
      <c r="V4" s="210">
        <v>985.0</v>
      </c>
      <c r="W4" s="209" t="s">
        <v>16</v>
      </c>
      <c r="X4" s="210">
        <v>1112.0</v>
      </c>
      <c r="Z4" s="44"/>
      <c r="AA4" s="54" t="s">
        <v>162</v>
      </c>
      <c r="AB4" s="209" t="s">
        <v>7</v>
      </c>
      <c r="AC4" s="209" t="s">
        <v>247</v>
      </c>
      <c r="AD4" s="209" t="s">
        <v>30</v>
      </c>
      <c r="AE4" s="213"/>
      <c r="AF4" s="209" t="s">
        <v>7</v>
      </c>
      <c r="AG4" s="209" t="s">
        <v>249</v>
      </c>
      <c r="AH4" s="214" t="s">
        <v>250</v>
      </c>
    </row>
    <row r="5" ht="18.75" customHeight="1">
      <c r="B5" s="209" t="s">
        <v>245</v>
      </c>
      <c r="C5" s="210">
        <v>480.0</v>
      </c>
      <c r="D5" s="211"/>
      <c r="E5" s="209" t="s">
        <v>30</v>
      </c>
      <c r="F5" s="211"/>
      <c r="G5" s="210">
        <v>698.0</v>
      </c>
      <c r="H5" s="211"/>
      <c r="I5" s="209" t="s">
        <v>127</v>
      </c>
      <c r="J5" s="211"/>
      <c r="K5" s="210">
        <v>740.0</v>
      </c>
      <c r="L5" s="211"/>
      <c r="M5" s="209" t="s">
        <v>24</v>
      </c>
      <c r="N5" s="211"/>
      <c r="O5" s="210">
        <v>766.0</v>
      </c>
      <c r="P5" s="211"/>
      <c r="Q5" s="209" t="s">
        <v>27</v>
      </c>
      <c r="R5" s="210">
        <v>780.0</v>
      </c>
      <c r="S5" s="209" t="s">
        <v>109</v>
      </c>
      <c r="T5" s="210">
        <v>801.0</v>
      </c>
      <c r="U5" s="209" t="s">
        <v>26</v>
      </c>
      <c r="V5" s="210">
        <v>823.0</v>
      </c>
      <c r="W5" s="209" t="s">
        <v>23</v>
      </c>
      <c r="X5" s="210">
        <v>828.0</v>
      </c>
      <c r="Z5" s="44"/>
      <c r="AA5" s="54" t="s">
        <v>163</v>
      </c>
      <c r="AB5" s="209" t="s">
        <v>47</v>
      </c>
      <c r="AC5" s="209" t="s">
        <v>25</v>
      </c>
      <c r="AD5" s="209" t="s">
        <v>127</v>
      </c>
      <c r="AE5" s="213"/>
      <c r="AF5" s="209" t="s">
        <v>47</v>
      </c>
      <c r="AG5" s="209" t="s">
        <v>251</v>
      </c>
    </row>
    <row r="6" ht="18.75" customHeight="1">
      <c r="C6" s="215">
        <f>SUM(C3:C5)</f>
        <v>3075</v>
      </c>
      <c r="G6" s="215">
        <f>SUM(G3:G5)</f>
        <v>3099</v>
      </c>
      <c r="K6" s="215">
        <f>SUM(K3:K5)</f>
        <v>3073</v>
      </c>
      <c r="O6" s="215">
        <f>SUM(O3:O5)</f>
        <v>3045</v>
      </c>
      <c r="R6" s="215">
        <f>SUM(R3:R5)</f>
        <v>3048</v>
      </c>
      <c r="T6" s="215">
        <f>SUM(T3:T5)</f>
        <v>2991</v>
      </c>
      <c r="V6" s="215">
        <f>SUM(V3:V5)</f>
        <v>2999</v>
      </c>
      <c r="X6" s="215">
        <f>SUM(X3:X5)</f>
        <v>3066</v>
      </c>
      <c r="Y6" s="19">
        <v>3049.5</v>
      </c>
      <c r="Z6" s="44"/>
      <c r="AA6" s="54" t="s">
        <v>164</v>
      </c>
      <c r="AB6" s="209" t="s">
        <v>10</v>
      </c>
      <c r="AC6" s="209" t="s">
        <v>20</v>
      </c>
      <c r="AD6" s="209" t="s">
        <v>24</v>
      </c>
      <c r="AE6" s="44"/>
      <c r="AF6" s="209" t="s">
        <v>10</v>
      </c>
      <c r="AG6" s="209" t="s">
        <v>252</v>
      </c>
    </row>
    <row r="7" ht="18.75" customHeight="1">
      <c r="Z7" s="44"/>
      <c r="AA7" s="54" t="s">
        <v>165</v>
      </c>
      <c r="AB7" s="209" t="s">
        <v>11</v>
      </c>
      <c r="AC7" s="209" t="s">
        <v>18</v>
      </c>
      <c r="AD7" s="209" t="s">
        <v>27</v>
      </c>
      <c r="AE7" s="44"/>
      <c r="AF7" s="209" t="s">
        <v>11</v>
      </c>
      <c r="AG7" s="209" t="s">
        <v>253</v>
      </c>
    </row>
    <row r="8" ht="18.75" customHeight="1">
      <c r="B8" s="216" t="s">
        <v>254</v>
      </c>
      <c r="C8" s="217"/>
      <c r="D8" s="218"/>
      <c r="Z8" s="44"/>
      <c r="AA8" s="54" t="s">
        <v>166</v>
      </c>
      <c r="AB8" s="209" t="s">
        <v>12</v>
      </c>
      <c r="AC8" s="209" t="s">
        <v>248</v>
      </c>
      <c r="AD8" s="209" t="s">
        <v>109</v>
      </c>
      <c r="AE8" s="44"/>
      <c r="AF8" s="209" t="s">
        <v>12</v>
      </c>
      <c r="AG8" s="209" t="s">
        <v>255</v>
      </c>
    </row>
    <row r="9" ht="18.75" customHeight="1"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Z9" s="44"/>
      <c r="AA9" s="54"/>
      <c r="AB9" s="209"/>
      <c r="AC9" s="209"/>
      <c r="AD9" s="209"/>
      <c r="AE9" s="44"/>
      <c r="AF9" s="209"/>
      <c r="AG9" s="209"/>
    </row>
    <row r="10" ht="18.75" customHeight="1">
      <c r="B10" s="219" t="s">
        <v>161</v>
      </c>
      <c r="C10" s="156"/>
      <c r="D10" s="219" t="s">
        <v>162</v>
      </c>
      <c r="E10" s="156"/>
      <c r="F10" s="219" t="s">
        <v>163</v>
      </c>
      <c r="G10" s="156"/>
      <c r="H10" s="219" t="s">
        <v>164</v>
      </c>
      <c r="I10" s="156"/>
      <c r="J10" s="219" t="s">
        <v>165</v>
      </c>
      <c r="K10" s="156"/>
      <c r="L10" s="219" t="s">
        <v>166</v>
      </c>
      <c r="M10" s="156"/>
      <c r="N10" s="219" t="s">
        <v>167</v>
      </c>
      <c r="O10" s="156"/>
      <c r="P10" s="219" t="s">
        <v>168</v>
      </c>
      <c r="Q10" s="156"/>
      <c r="Z10" s="44"/>
      <c r="AA10" s="54" t="s">
        <v>167</v>
      </c>
      <c r="AB10" s="209" t="s">
        <v>15</v>
      </c>
      <c r="AC10" s="209" t="s">
        <v>21</v>
      </c>
      <c r="AD10" s="209" t="s">
        <v>26</v>
      </c>
      <c r="AE10" s="44"/>
      <c r="AF10" s="209"/>
      <c r="AG10" s="209"/>
    </row>
    <row r="11" ht="18.75" customHeight="1">
      <c r="B11" s="81" t="s">
        <v>175</v>
      </c>
      <c r="C11" s="82" t="s">
        <v>176</v>
      </c>
      <c r="D11" s="81" t="s">
        <v>175</v>
      </c>
      <c r="E11" s="82" t="s">
        <v>177</v>
      </c>
      <c r="F11" s="81" t="s">
        <v>175</v>
      </c>
      <c r="G11" s="87" t="s">
        <v>256</v>
      </c>
      <c r="H11" s="81" t="s">
        <v>175</v>
      </c>
      <c r="I11" s="82" t="s">
        <v>179</v>
      </c>
      <c r="J11" s="81" t="s">
        <v>175</v>
      </c>
      <c r="K11" s="87" t="s">
        <v>257</v>
      </c>
      <c r="L11" s="81" t="s">
        <v>175</v>
      </c>
      <c r="M11" s="82" t="s">
        <v>258</v>
      </c>
      <c r="N11" s="81" t="s">
        <v>175</v>
      </c>
      <c r="O11" s="82" t="s">
        <v>259</v>
      </c>
      <c r="P11" s="81" t="s">
        <v>175</v>
      </c>
      <c r="Q11" s="220" t="s">
        <v>260</v>
      </c>
      <c r="Z11" s="44"/>
      <c r="AA11" s="54" t="s">
        <v>168</v>
      </c>
      <c r="AB11" s="209" t="s">
        <v>13</v>
      </c>
      <c r="AC11" s="209" t="s">
        <v>16</v>
      </c>
      <c r="AD11" s="209" t="s">
        <v>23</v>
      </c>
      <c r="AE11" s="44"/>
      <c r="AF11" s="209" t="s">
        <v>15</v>
      </c>
      <c r="AG11" s="209" t="s">
        <v>261</v>
      </c>
    </row>
    <row r="12" ht="18.75" customHeight="1">
      <c r="B12" s="86" t="s">
        <v>184</v>
      </c>
      <c r="C12" s="87" t="s">
        <v>185</v>
      </c>
      <c r="D12" s="86" t="s">
        <v>184</v>
      </c>
      <c r="E12" s="87" t="s">
        <v>186</v>
      </c>
      <c r="F12" s="86" t="s">
        <v>184</v>
      </c>
      <c r="G12" s="87" t="s">
        <v>187</v>
      </c>
      <c r="H12" s="86" t="s">
        <v>184</v>
      </c>
      <c r="I12" s="87" t="s">
        <v>188</v>
      </c>
      <c r="J12" s="86" t="s">
        <v>184</v>
      </c>
      <c r="K12" s="87" t="s">
        <v>189</v>
      </c>
      <c r="L12" s="86" t="s">
        <v>184</v>
      </c>
      <c r="M12" s="87" t="s">
        <v>190</v>
      </c>
      <c r="N12" s="86" t="s">
        <v>184</v>
      </c>
      <c r="O12" s="87" t="s">
        <v>191</v>
      </c>
      <c r="P12" s="86" t="s">
        <v>184</v>
      </c>
      <c r="Q12" s="87" t="s">
        <v>192</v>
      </c>
      <c r="Z12" s="44"/>
      <c r="AE12" s="221"/>
      <c r="AF12" s="209" t="s">
        <v>13</v>
      </c>
      <c r="AG12" s="209" t="s">
        <v>262</v>
      </c>
    </row>
    <row r="13">
      <c r="B13" s="86" t="s">
        <v>193</v>
      </c>
      <c r="C13" s="87" t="s">
        <v>194</v>
      </c>
      <c r="D13" s="86" t="s">
        <v>193</v>
      </c>
      <c r="E13" s="87" t="s">
        <v>195</v>
      </c>
      <c r="F13" s="86" t="s">
        <v>193</v>
      </c>
      <c r="G13" s="222" t="s">
        <v>263</v>
      </c>
      <c r="H13" s="86" t="s">
        <v>193</v>
      </c>
      <c r="I13" s="87" t="s">
        <v>197</v>
      </c>
      <c r="J13" s="86" t="s">
        <v>193</v>
      </c>
      <c r="K13" s="87" t="s">
        <v>198</v>
      </c>
      <c r="L13" s="86" t="s">
        <v>193</v>
      </c>
      <c r="M13" s="87" t="s">
        <v>199</v>
      </c>
      <c r="N13" s="86" t="s">
        <v>193</v>
      </c>
      <c r="O13" s="87" t="s">
        <v>200</v>
      </c>
      <c r="P13" s="86" t="s">
        <v>193</v>
      </c>
      <c r="Q13" s="87" t="s">
        <v>201</v>
      </c>
      <c r="AF13" s="208" t="s">
        <v>264</v>
      </c>
    </row>
    <row r="14">
      <c r="AF14" s="209" t="s">
        <v>49</v>
      </c>
      <c r="AG14" s="209" t="s">
        <v>265</v>
      </c>
    </row>
    <row r="15">
      <c r="C15" s="18" t="s">
        <v>266</v>
      </c>
      <c r="G15" s="87" t="s">
        <v>267</v>
      </c>
      <c r="K15" s="87" t="s">
        <v>180</v>
      </c>
      <c r="Q15" s="87"/>
      <c r="AA15" s="206"/>
      <c r="AB15" s="207" t="s">
        <v>240</v>
      </c>
      <c r="AC15" s="207" t="s">
        <v>241</v>
      </c>
      <c r="AD15" s="207" t="s">
        <v>242</v>
      </c>
      <c r="AF15" s="209" t="s">
        <v>17</v>
      </c>
      <c r="AG15" s="209" t="s">
        <v>268</v>
      </c>
    </row>
    <row r="16">
      <c r="G16" s="87" t="s">
        <v>269</v>
      </c>
      <c r="AA16" s="48" t="s">
        <v>161</v>
      </c>
      <c r="AB16" s="223" t="s">
        <v>176</v>
      </c>
      <c r="AC16" s="223" t="s">
        <v>185</v>
      </c>
      <c r="AD16" s="223" t="s">
        <v>194</v>
      </c>
      <c r="AF16" s="209" t="s">
        <v>86</v>
      </c>
      <c r="AG16" s="209" t="s">
        <v>270</v>
      </c>
    </row>
    <row r="17">
      <c r="G17" s="87" t="s">
        <v>271</v>
      </c>
      <c r="AA17" s="54" t="s">
        <v>162</v>
      </c>
      <c r="AB17" s="214" t="s">
        <v>177</v>
      </c>
      <c r="AC17" s="214" t="s">
        <v>186</v>
      </c>
      <c r="AD17" s="214" t="s">
        <v>195</v>
      </c>
      <c r="AF17" s="209" t="s">
        <v>83</v>
      </c>
      <c r="AG17" s="209" t="s">
        <v>272</v>
      </c>
    </row>
    <row r="18">
      <c r="G18" s="87" t="s">
        <v>273</v>
      </c>
      <c r="AA18" s="54" t="s">
        <v>163</v>
      </c>
      <c r="AB18" s="214" t="s">
        <v>274</v>
      </c>
      <c r="AC18" s="214" t="s">
        <v>187</v>
      </c>
      <c r="AD18" s="214" t="s">
        <v>273</v>
      </c>
      <c r="AF18" s="209" t="s">
        <v>8</v>
      </c>
      <c r="AG18" s="209" t="s">
        <v>275</v>
      </c>
    </row>
    <row r="19">
      <c r="AA19" s="54" t="s">
        <v>164</v>
      </c>
      <c r="AB19" s="214" t="s">
        <v>179</v>
      </c>
      <c r="AC19" s="214" t="s">
        <v>188</v>
      </c>
      <c r="AD19" s="214" t="s">
        <v>197</v>
      </c>
      <c r="AF19" s="209" t="s">
        <v>28</v>
      </c>
      <c r="AG19" s="209" t="s">
        <v>276</v>
      </c>
    </row>
    <row r="20">
      <c r="AA20" s="54" t="s">
        <v>165</v>
      </c>
      <c r="AB20" s="214" t="s">
        <v>180</v>
      </c>
      <c r="AC20" s="214" t="s">
        <v>189</v>
      </c>
      <c r="AD20" s="214" t="s">
        <v>198</v>
      </c>
    </row>
    <row r="21">
      <c r="AA21" s="54" t="s">
        <v>166</v>
      </c>
      <c r="AB21" s="214" t="s">
        <v>181</v>
      </c>
      <c r="AC21" s="214" t="s">
        <v>190</v>
      </c>
      <c r="AD21" s="214" t="s">
        <v>199</v>
      </c>
    </row>
    <row r="22">
      <c r="AA22" s="54" t="s">
        <v>167</v>
      </c>
      <c r="AB22" s="214" t="s">
        <v>182</v>
      </c>
      <c r="AC22" s="214" t="s">
        <v>191</v>
      </c>
      <c r="AD22" s="214" t="s">
        <v>200</v>
      </c>
    </row>
    <row r="23">
      <c r="AA23" s="54" t="s">
        <v>168</v>
      </c>
      <c r="AB23" s="214" t="s">
        <v>183</v>
      </c>
      <c r="AC23" s="214" t="s">
        <v>277</v>
      </c>
      <c r="AD23" s="214" t="s">
        <v>201</v>
      </c>
    </row>
  </sheetData>
  <mergeCells count="17">
    <mergeCell ref="E2:G2"/>
    <mergeCell ref="I2:K2"/>
    <mergeCell ref="M2:O2"/>
    <mergeCell ref="Q2:R2"/>
    <mergeCell ref="S2:T2"/>
    <mergeCell ref="U2:V2"/>
    <mergeCell ref="W2:X2"/>
    <mergeCell ref="L10:M10"/>
    <mergeCell ref="N10:O10"/>
    <mergeCell ref="P10:Q10"/>
    <mergeCell ref="B2:C2"/>
    <mergeCell ref="B8:D8"/>
    <mergeCell ref="B10:C10"/>
    <mergeCell ref="D10:E10"/>
    <mergeCell ref="F10:G10"/>
    <mergeCell ref="H10:I10"/>
    <mergeCell ref="J10:K1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75"/>
    <col customWidth="1" min="3" max="26" width="7.63"/>
    <col customWidth="1" min="27" max="27" width="0.38"/>
    <col customWidth="1" min="28" max="28" width="7.63"/>
    <col customWidth="1" min="29" max="32" width="8.25"/>
    <col customWidth="1" min="33" max="33" width="11.38"/>
    <col customWidth="1" min="34" max="34" width="10.13"/>
    <col customWidth="1" min="35" max="35" width="13.25"/>
    <col customWidth="1" min="36" max="36" width="1.13"/>
    <col customWidth="1" min="37" max="37" width="9.38"/>
    <col customWidth="1" min="38" max="38" width="7.25"/>
    <col customWidth="1" min="39" max="39" width="3.38"/>
    <col customWidth="1" min="40" max="40" width="7.63"/>
    <col customWidth="1" min="41" max="41" width="8.88"/>
    <col customWidth="1" min="42" max="42" width="5.5"/>
    <col customWidth="1" min="43" max="44" width="5.38"/>
    <col customWidth="1" min="45" max="45" width="5.25"/>
    <col customWidth="1" min="46" max="46" width="15.25"/>
    <col customWidth="1" min="47" max="49" width="10.13"/>
  </cols>
  <sheetData>
    <row r="1">
      <c r="B1" s="19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B1" s="224"/>
      <c r="AC1" s="224"/>
      <c r="AD1" s="224"/>
      <c r="AE1" s="224"/>
      <c r="AF1" s="224"/>
      <c r="AG1" s="224"/>
      <c r="AH1" s="224"/>
      <c r="AI1" s="224"/>
    </row>
    <row r="2">
      <c r="B2" s="225"/>
      <c r="C2" s="226" t="s">
        <v>278</v>
      </c>
      <c r="D2" s="227"/>
      <c r="E2" s="227"/>
      <c r="F2" s="226" t="s">
        <v>279</v>
      </c>
      <c r="G2" s="227"/>
      <c r="H2" s="227"/>
      <c r="I2" s="226" t="s">
        <v>280</v>
      </c>
      <c r="J2" s="227"/>
      <c r="K2" s="227"/>
      <c r="L2" s="226" t="s">
        <v>281</v>
      </c>
      <c r="M2" s="227"/>
      <c r="N2" s="227"/>
      <c r="O2" s="226" t="s">
        <v>282</v>
      </c>
      <c r="P2" s="227"/>
      <c r="Q2" s="227"/>
      <c r="R2" s="226" t="s">
        <v>283</v>
      </c>
      <c r="S2" s="227"/>
      <c r="T2" s="227"/>
      <c r="U2" s="226" t="s">
        <v>284</v>
      </c>
      <c r="V2" s="227"/>
      <c r="W2" s="227"/>
      <c r="X2" s="228" t="s">
        <v>285</v>
      </c>
      <c r="Y2" s="227"/>
      <c r="Z2" s="229"/>
      <c r="AB2" s="230" t="s">
        <v>286</v>
      </c>
      <c r="AC2" s="77"/>
      <c r="AD2" s="77"/>
      <c r="AE2" s="77"/>
      <c r="AF2" s="77"/>
      <c r="AG2" s="77"/>
      <c r="AH2" s="77"/>
      <c r="AI2" s="39"/>
      <c r="AK2" s="231" t="s">
        <v>287</v>
      </c>
      <c r="AL2" s="232" t="s">
        <v>219</v>
      </c>
      <c r="AM2" s="233"/>
      <c r="AN2" s="232" t="s">
        <v>220</v>
      </c>
      <c r="AO2" s="232" t="s">
        <v>218</v>
      </c>
      <c r="AP2" s="234" t="s">
        <v>208</v>
      </c>
      <c r="AQ2" s="39"/>
      <c r="AR2" s="234" t="s">
        <v>209</v>
      </c>
      <c r="AS2" s="39"/>
    </row>
    <row r="3" ht="17.25" customHeight="1">
      <c r="B3" s="235"/>
      <c r="C3" s="235" t="s">
        <v>210</v>
      </c>
      <c r="D3" s="236" t="s">
        <v>208</v>
      </c>
      <c r="E3" s="236" t="s">
        <v>209</v>
      </c>
      <c r="F3" s="235" t="s">
        <v>210</v>
      </c>
      <c r="G3" s="236" t="s">
        <v>208</v>
      </c>
      <c r="H3" s="236" t="s">
        <v>209</v>
      </c>
      <c r="I3" s="235" t="s">
        <v>210</v>
      </c>
      <c r="J3" s="236" t="s">
        <v>208</v>
      </c>
      <c r="K3" s="236" t="s">
        <v>209</v>
      </c>
      <c r="L3" s="235" t="s">
        <v>210</v>
      </c>
      <c r="M3" s="236" t="s">
        <v>208</v>
      </c>
      <c r="N3" s="236" t="s">
        <v>209</v>
      </c>
      <c r="O3" s="235" t="s">
        <v>210</v>
      </c>
      <c r="P3" s="236" t="s">
        <v>288</v>
      </c>
      <c r="Q3" s="236" t="s">
        <v>209</v>
      </c>
      <c r="R3" s="235" t="s">
        <v>210</v>
      </c>
      <c r="S3" s="236" t="s">
        <v>208</v>
      </c>
      <c r="T3" s="236" t="s">
        <v>209</v>
      </c>
      <c r="U3" s="235" t="s">
        <v>210</v>
      </c>
      <c r="V3" s="236" t="s">
        <v>208</v>
      </c>
      <c r="W3" s="236" t="s">
        <v>209</v>
      </c>
      <c r="X3" s="237" t="s">
        <v>210</v>
      </c>
      <c r="Y3" s="235" t="s">
        <v>288</v>
      </c>
      <c r="Z3" s="238" t="s">
        <v>209</v>
      </c>
      <c r="AB3" s="239" t="s">
        <v>289</v>
      </c>
      <c r="AC3" s="240"/>
      <c r="AD3" s="241" t="s">
        <v>210</v>
      </c>
      <c r="AE3" s="241" t="s">
        <v>288</v>
      </c>
      <c r="AF3" s="242" t="s">
        <v>209</v>
      </c>
      <c r="AG3" s="239" t="s">
        <v>290</v>
      </c>
      <c r="AH3" s="156"/>
      <c r="AI3" s="155"/>
      <c r="AK3" s="243"/>
      <c r="AL3" s="244" t="s">
        <v>291</v>
      </c>
      <c r="AM3" s="244" t="s">
        <v>292</v>
      </c>
      <c r="AN3" s="244" t="s">
        <v>293</v>
      </c>
      <c r="AO3" s="244" t="s">
        <v>291</v>
      </c>
      <c r="AP3" s="244">
        <v>5.0</v>
      </c>
      <c r="AQ3" s="244">
        <v>5.0</v>
      </c>
      <c r="AR3" s="244">
        <v>18.0</v>
      </c>
      <c r="AS3" s="244">
        <v>18.0</v>
      </c>
      <c r="AT3" s="245" t="s">
        <v>294</v>
      </c>
    </row>
    <row r="4">
      <c r="B4" s="246" t="s">
        <v>295</v>
      </c>
      <c r="C4" s="247">
        <v>1.0</v>
      </c>
      <c r="D4" s="248">
        <v>5.0</v>
      </c>
      <c r="E4" s="248">
        <v>18.0</v>
      </c>
      <c r="F4" s="247">
        <v>1.0</v>
      </c>
      <c r="G4" s="248">
        <v>5.0</v>
      </c>
      <c r="H4" s="248">
        <v>17.0</v>
      </c>
      <c r="I4" s="247">
        <v>1.0</v>
      </c>
      <c r="J4" s="248">
        <v>7.0</v>
      </c>
      <c r="K4" s="248">
        <v>22.0</v>
      </c>
      <c r="L4" s="247">
        <v>1.0</v>
      </c>
      <c r="M4" s="248">
        <v>6.0</v>
      </c>
      <c r="N4" s="248">
        <v>20.0</v>
      </c>
      <c r="O4" s="246">
        <v>1.0</v>
      </c>
      <c r="P4" s="37">
        <v>5.0</v>
      </c>
      <c r="Q4" s="37">
        <v>16.0</v>
      </c>
      <c r="R4" s="246">
        <v>1.0</v>
      </c>
      <c r="S4" s="37">
        <v>6.0</v>
      </c>
      <c r="T4" s="37">
        <v>19.0</v>
      </c>
      <c r="U4" s="246">
        <v>1.0</v>
      </c>
      <c r="V4" s="37">
        <v>6.0</v>
      </c>
      <c r="W4" s="37">
        <v>20.0</v>
      </c>
      <c r="X4" s="249">
        <f t="shared" ref="X4:Z4" si="1">C4+F4+I4+L4+O4+R4+U4</f>
        <v>7</v>
      </c>
      <c r="Y4" s="247">
        <f t="shared" si="1"/>
        <v>40</v>
      </c>
      <c r="Z4" s="250">
        <f t="shared" si="1"/>
        <v>132</v>
      </c>
      <c r="AB4" s="246">
        <v>1.0</v>
      </c>
      <c r="AC4" s="246" t="s">
        <v>295</v>
      </c>
      <c r="AD4" s="246">
        <f t="shared" ref="AD4:AF4" si="2">X4</f>
        <v>7</v>
      </c>
      <c r="AE4" s="246">
        <f t="shared" si="2"/>
        <v>40</v>
      </c>
      <c r="AF4" s="246">
        <f t="shared" si="2"/>
        <v>132</v>
      </c>
      <c r="AG4" s="251" t="s">
        <v>177</v>
      </c>
      <c r="AH4" s="252" t="s">
        <v>186</v>
      </c>
      <c r="AI4" s="253" t="s">
        <v>195</v>
      </c>
      <c r="AK4" s="243"/>
      <c r="AL4" s="244" t="s">
        <v>296</v>
      </c>
      <c r="AM4" s="244" t="s">
        <v>292</v>
      </c>
      <c r="AN4" s="244" t="s">
        <v>297</v>
      </c>
      <c r="AO4" s="244" t="s">
        <v>297</v>
      </c>
      <c r="AP4" s="244">
        <v>4.0</v>
      </c>
      <c r="AQ4" s="244">
        <v>5.0</v>
      </c>
      <c r="AR4" s="244">
        <v>16.0</v>
      </c>
      <c r="AS4" s="244">
        <v>15.0</v>
      </c>
      <c r="AT4" s="245" t="s">
        <v>298</v>
      </c>
    </row>
    <row r="5">
      <c r="B5" s="246" t="s">
        <v>299</v>
      </c>
      <c r="C5" s="247">
        <v>1.0</v>
      </c>
      <c r="D5" s="248">
        <v>7.0</v>
      </c>
      <c r="E5" s="248">
        <v>22.0</v>
      </c>
      <c r="F5" s="247">
        <v>1.0</v>
      </c>
      <c r="G5" s="248">
        <v>8.0</v>
      </c>
      <c r="H5" s="248">
        <v>24.0</v>
      </c>
      <c r="I5" s="247">
        <v>1.0</v>
      </c>
      <c r="J5" s="248">
        <v>5.0</v>
      </c>
      <c r="K5" s="248">
        <v>20.0</v>
      </c>
      <c r="L5" s="247">
        <v>1.0</v>
      </c>
      <c r="M5" s="248">
        <v>6.0</v>
      </c>
      <c r="N5" s="248">
        <v>19.0</v>
      </c>
      <c r="O5" s="246">
        <v>0.0</v>
      </c>
      <c r="P5" s="37">
        <v>4.0</v>
      </c>
      <c r="Q5" s="37">
        <v>18.0</v>
      </c>
      <c r="R5" s="246">
        <v>0.0</v>
      </c>
      <c r="S5" s="37">
        <v>4.0</v>
      </c>
      <c r="T5" s="37">
        <v>17.0</v>
      </c>
      <c r="U5" s="246">
        <v>1.0</v>
      </c>
      <c r="V5" s="37">
        <v>6.0</v>
      </c>
      <c r="W5" s="37">
        <v>20.0</v>
      </c>
      <c r="X5" s="249">
        <f t="shared" ref="X5:Z5" si="3">C5+F5+I5+L5+O5+R5+U5</f>
        <v>5</v>
      </c>
      <c r="Y5" s="247">
        <f t="shared" si="3"/>
        <v>40</v>
      </c>
      <c r="Z5" s="250">
        <f t="shared" si="3"/>
        <v>140</v>
      </c>
      <c r="AB5" s="254">
        <v>2.0</v>
      </c>
      <c r="AC5" s="254" t="s">
        <v>299</v>
      </c>
      <c r="AD5" s="254">
        <f t="shared" ref="AD5:AF5" si="4">X5</f>
        <v>5</v>
      </c>
      <c r="AE5" s="254">
        <f t="shared" si="4"/>
        <v>40</v>
      </c>
      <c r="AF5" s="254">
        <f t="shared" si="4"/>
        <v>140</v>
      </c>
      <c r="AG5" s="255" t="s">
        <v>179</v>
      </c>
      <c r="AH5" s="256" t="s">
        <v>188</v>
      </c>
      <c r="AI5" s="257" t="s">
        <v>197</v>
      </c>
      <c r="AK5" s="243"/>
      <c r="AL5" s="244" t="s">
        <v>300</v>
      </c>
      <c r="AM5" s="244" t="s">
        <v>292</v>
      </c>
      <c r="AN5" s="244" t="s">
        <v>299</v>
      </c>
      <c r="AO5" s="244" t="s">
        <v>299</v>
      </c>
      <c r="AP5" s="244">
        <v>4.0</v>
      </c>
      <c r="AQ5" s="244">
        <v>6.0</v>
      </c>
      <c r="AR5" s="244">
        <v>17.0</v>
      </c>
      <c r="AS5" s="244">
        <v>20.0</v>
      </c>
      <c r="AT5" s="258"/>
    </row>
    <row r="6">
      <c r="B6" s="246" t="s">
        <v>293</v>
      </c>
      <c r="C6" s="247">
        <v>1.0</v>
      </c>
      <c r="D6" s="248">
        <v>7.0</v>
      </c>
      <c r="E6" s="248">
        <v>21.0</v>
      </c>
      <c r="F6" s="247">
        <v>0.0</v>
      </c>
      <c r="G6" s="248">
        <v>5.0</v>
      </c>
      <c r="H6" s="248">
        <v>16.0</v>
      </c>
      <c r="I6" s="247">
        <v>0.0</v>
      </c>
      <c r="J6" s="248">
        <v>4.0</v>
      </c>
      <c r="K6" s="248">
        <v>16.0</v>
      </c>
      <c r="L6" s="247">
        <v>1.0</v>
      </c>
      <c r="M6" s="248">
        <v>6.0</v>
      </c>
      <c r="N6" s="248">
        <v>19.0</v>
      </c>
      <c r="O6" s="246">
        <v>1.0</v>
      </c>
      <c r="P6" s="37">
        <v>6.0</v>
      </c>
      <c r="Q6" s="37">
        <v>18.0</v>
      </c>
      <c r="R6" s="246">
        <v>1.0</v>
      </c>
      <c r="S6" s="37">
        <v>6.0</v>
      </c>
      <c r="T6" s="37">
        <v>20.0</v>
      </c>
      <c r="U6" s="246">
        <v>0.0</v>
      </c>
      <c r="V6" s="37">
        <v>5.0</v>
      </c>
      <c r="W6" s="37">
        <v>18.0</v>
      </c>
      <c r="X6" s="249">
        <f t="shared" ref="X6:Z6" si="5">C6+F6+I6+L6+O6+R6+U6</f>
        <v>4</v>
      </c>
      <c r="Y6" s="247">
        <f t="shared" si="5"/>
        <v>39</v>
      </c>
      <c r="Z6" s="250">
        <f t="shared" si="5"/>
        <v>128</v>
      </c>
      <c r="AB6" s="246">
        <v>3.0</v>
      </c>
      <c r="AC6" s="246" t="s">
        <v>293</v>
      </c>
      <c r="AD6" s="246">
        <f t="shared" ref="AD6:AF6" si="6">X6</f>
        <v>4</v>
      </c>
      <c r="AE6" s="246">
        <f t="shared" si="6"/>
        <v>39</v>
      </c>
      <c r="AF6" s="246">
        <f t="shared" si="6"/>
        <v>128</v>
      </c>
      <c r="AG6" s="259" t="s">
        <v>176</v>
      </c>
      <c r="AH6" s="260" t="s">
        <v>185</v>
      </c>
      <c r="AI6" s="261" t="s">
        <v>194</v>
      </c>
      <c r="AK6" s="262"/>
      <c r="AL6" s="244" t="s">
        <v>301</v>
      </c>
      <c r="AM6" s="244" t="s">
        <v>292</v>
      </c>
      <c r="AN6" s="244" t="s">
        <v>295</v>
      </c>
      <c r="AO6" s="244" t="s">
        <v>295</v>
      </c>
      <c r="AP6" s="244">
        <v>4.0</v>
      </c>
      <c r="AQ6" s="244">
        <v>6.0</v>
      </c>
      <c r="AR6" s="244">
        <v>14.0</v>
      </c>
      <c r="AS6" s="244">
        <v>20.0</v>
      </c>
      <c r="AT6" s="258"/>
    </row>
    <row r="7">
      <c r="B7" s="246" t="s">
        <v>301</v>
      </c>
      <c r="C7" s="247">
        <v>0.0</v>
      </c>
      <c r="D7" s="248">
        <v>3.0</v>
      </c>
      <c r="E7" s="248">
        <v>14.0</v>
      </c>
      <c r="F7" s="247">
        <v>1.0</v>
      </c>
      <c r="G7" s="248">
        <v>5.0</v>
      </c>
      <c r="H7" s="248">
        <v>21.0</v>
      </c>
      <c r="I7" s="247">
        <v>1.0</v>
      </c>
      <c r="J7" s="248">
        <v>6.0</v>
      </c>
      <c r="K7" s="248">
        <v>19.0</v>
      </c>
      <c r="L7" s="247">
        <v>0.0</v>
      </c>
      <c r="M7" s="248">
        <v>5.0</v>
      </c>
      <c r="N7" s="248">
        <v>17.0</v>
      </c>
      <c r="O7" s="247">
        <v>1.0</v>
      </c>
      <c r="P7" s="248">
        <v>5.0</v>
      </c>
      <c r="Q7" s="248">
        <v>20.0</v>
      </c>
      <c r="R7" s="246">
        <v>1.0</v>
      </c>
      <c r="S7" s="37">
        <v>5.0</v>
      </c>
      <c r="T7" s="37">
        <v>18.0</v>
      </c>
      <c r="U7" s="246">
        <v>0.0</v>
      </c>
      <c r="V7" s="37">
        <v>4.0</v>
      </c>
      <c r="W7" s="37">
        <v>15.0</v>
      </c>
      <c r="X7" s="249">
        <f t="shared" ref="X7:Z7" si="7">C7+F7+I7+L7+O7+R7+U7</f>
        <v>4</v>
      </c>
      <c r="Y7" s="247">
        <f t="shared" si="7"/>
        <v>33</v>
      </c>
      <c r="Z7" s="250">
        <f t="shared" si="7"/>
        <v>124</v>
      </c>
      <c r="AB7" s="254">
        <v>4.0</v>
      </c>
      <c r="AC7" s="254" t="s">
        <v>301</v>
      </c>
      <c r="AD7" s="254">
        <f t="shared" ref="AD7:AF7" si="8">X7</f>
        <v>4</v>
      </c>
      <c r="AE7" s="254">
        <f t="shared" si="8"/>
        <v>33</v>
      </c>
      <c r="AF7" s="254">
        <f t="shared" si="8"/>
        <v>124</v>
      </c>
      <c r="AG7" s="255" t="s">
        <v>257</v>
      </c>
      <c r="AH7" s="256" t="s">
        <v>189</v>
      </c>
      <c r="AI7" s="257" t="s">
        <v>198</v>
      </c>
    </row>
    <row r="8">
      <c r="B8" s="246" t="s">
        <v>297</v>
      </c>
      <c r="C8" s="247">
        <v>0.0</v>
      </c>
      <c r="D8" s="248">
        <v>5.0</v>
      </c>
      <c r="E8" s="248">
        <v>18.0</v>
      </c>
      <c r="F8" s="247">
        <v>0.0</v>
      </c>
      <c r="G8" s="248">
        <v>2.0</v>
      </c>
      <c r="H8" s="248">
        <v>9.0</v>
      </c>
      <c r="I8" s="247">
        <v>1.0</v>
      </c>
      <c r="J8" s="248">
        <v>3.0</v>
      </c>
      <c r="K8" s="248">
        <v>11.0</v>
      </c>
      <c r="L8" s="247">
        <v>1.0</v>
      </c>
      <c r="M8" s="248">
        <v>5.0</v>
      </c>
      <c r="N8" s="248">
        <v>18.0</v>
      </c>
      <c r="O8" s="246">
        <v>1.0</v>
      </c>
      <c r="P8" s="37">
        <v>6.0</v>
      </c>
      <c r="Q8" s="37">
        <v>19.0</v>
      </c>
      <c r="R8" s="246">
        <v>0.0</v>
      </c>
      <c r="S8" s="37">
        <v>4.0</v>
      </c>
      <c r="T8" s="37">
        <v>15.0</v>
      </c>
      <c r="U8" s="246">
        <v>1.0</v>
      </c>
      <c r="V8" s="37">
        <v>5.0</v>
      </c>
      <c r="W8" s="37">
        <v>17.0</v>
      </c>
      <c r="X8" s="249">
        <f t="shared" ref="X8:Z8" si="9">C8+F8+I8+L8+O8+R8+U8</f>
        <v>4</v>
      </c>
      <c r="Y8" s="247">
        <f t="shared" si="9"/>
        <v>30</v>
      </c>
      <c r="Z8" s="250">
        <f t="shared" si="9"/>
        <v>107</v>
      </c>
      <c r="AB8" s="246">
        <v>5.0</v>
      </c>
      <c r="AC8" s="246" t="s">
        <v>297</v>
      </c>
      <c r="AD8" s="246">
        <f t="shared" ref="AD8:AF8" si="10">X8</f>
        <v>4</v>
      </c>
      <c r="AE8" s="246">
        <f t="shared" si="10"/>
        <v>30</v>
      </c>
      <c r="AF8" s="246">
        <f t="shared" si="10"/>
        <v>107</v>
      </c>
      <c r="AG8" s="259" t="s">
        <v>256</v>
      </c>
      <c r="AH8" s="260" t="s">
        <v>187</v>
      </c>
      <c r="AI8" s="261" t="s">
        <v>263</v>
      </c>
    </row>
    <row r="9">
      <c r="B9" s="246" t="s">
        <v>296</v>
      </c>
      <c r="C9" s="247">
        <v>0.0</v>
      </c>
      <c r="D9" s="248">
        <v>2.0</v>
      </c>
      <c r="E9" s="248">
        <v>10.0</v>
      </c>
      <c r="F9" s="247">
        <v>1.0</v>
      </c>
      <c r="G9" s="248">
        <v>6.0</v>
      </c>
      <c r="H9" s="248">
        <v>20.0</v>
      </c>
      <c r="I9" s="247">
        <v>0.0</v>
      </c>
      <c r="J9" s="248">
        <v>5.0</v>
      </c>
      <c r="K9" s="248">
        <v>18.0</v>
      </c>
      <c r="L9" s="247">
        <v>0.0</v>
      </c>
      <c r="M9" s="248">
        <v>4.0</v>
      </c>
      <c r="N9" s="248">
        <v>16.0</v>
      </c>
      <c r="O9" s="246">
        <v>0.0</v>
      </c>
      <c r="P9" s="37">
        <v>5.0</v>
      </c>
      <c r="Q9" s="37">
        <v>16.0</v>
      </c>
      <c r="R9" s="246">
        <v>1.0</v>
      </c>
      <c r="S9" s="37">
        <v>7.0</v>
      </c>
      <c r="T9" s="37">
        <v>23.0</v>
      </c>
      <c r="U9" s="246">
        <v>0.0</v>
      </c>
      <c r="V9" s="37">
        <v>4.0</v>
      </c>
      <c r="W9" s="37">
        <v>14.0</v>
      </c>
      <c r="X9" s="249">
        <f t="shared" ref="X9:Z9" si="11">C9+F9+I9+L9+O9+R9+U9</f>
        <v>2</v>
      </c>
      <c r="Y9" s="247">
        <f t="shared" si="11"/>
        <v>33</v>
      </c>
      <c r="Z9" s="250">
        <f t="shared" si="11"/>
        <v>117</v>
      </c>
      <c r="AB9" s="254">
        <v>6.0</v>
      </c>
      <c r="AC9" s="254" t="s">
        <v>296</v>
      </c>
      <c r="AD9" s="254">
        <f t="shared" ref="AD9:AF9" si="12">X9</f>
        <v>2</v>
      </c>
      <c r="AE9" s="254">
        <f t="shared" si="12"/>
        <v>33</v>
      </c>
      <c r="AF9" s="254">
        <f t="shared" si="12"/>
        <v>117</v>
      </c>
      <c r="AG9" s="255" t="s">
        <v>260</v>
      </c>
      <c r="AH9" s="256" t="s">
        <v>192</v>
      </c>
      <c r="AI9" s="257" t="s">
        <v>201</v>
      </c>
    </row>
    <row r="10">
      <c r="B10" s="246" t="s">
        <v>300</v>
      </c>
      <c r="C10" s="247">
        <v>1.0</v>
      </c>
      <c r="D10" s="248">
        <v>6.0</v>
      </c>
      <c r="E10" s="248">
        <v>21.0</v>
      </c>
      <c r="F10" s="247">
        <v>0.0</v>
      </c>
      <c r="G10" s="248">
        <v>4.0</v>
      </c>
      <c r="H10" s="248">
        <v>18.0</v>
      </c>
      <c r="I10" s="247">
        <v>0.0</v>
      </c>
      <c r="J10" s="248">
        <v>2.0</v>
      </c>
      <c r="K10" s="248">
        <v>7.0</v>
      </c>
      <c r="L10" s="247">
        <v>0.0</v>
      </c>
      <c r="M10" s="248">
        <v>4.0</v>
      </c>
      <c r="N10" s="248">
        <v>16.0</v>
      </c>
      <c r="O10" s="246">
        <v>0.0</v>
      </c>
      <c r="P10" s="37">
        <v>5.0</v>
      </c>
      <c r="Q10" s="37">
        <v>15.0</v>
      </c>
      <c r="R10" s="246">
        <v>0.0</v>
      </c>
      <c r="S10" s="37">
        <v>5.0</v>
      </c>
      <c r="T10" s="37">
        <v>16.0</v>
      </c>
      <c r="U10" s="246">
        <v>0.0</v>
      </c>
      <c r="V10" s="37">
        <v>4.0</v>
      </c>
      <c r="W10" s="37">
        <v>17.0</v>
      </c>
      <c r="X10" s="249">
        <f t="shared" ref="X10:Z10" si="13">C10+F10+I10+L10+O10+R10+U10</f>
        <v>1</v>
      </c>
      <c r="Y10" s="247">
        <f t="shared" si="13"/>
        <v>30</v>
      </c>
      <c r="Z10" s="250">
        <f t="shared" si="13"/>
        <v>110</v>
      </c>
      <c r="AB10" s="246">
        <v>7.0</v>
      </c>
      <c r="AC10" s="246" t="s">
        <v>300</v>
      </c>
      <c r="AD10" s="246">
        <f t="shared" ref="AD10:AF10" si="14">X10</f>
        <v>1</v>
      </c>
      <c r="AE10" s="246">
        <f t="shared" si="14"/>
        <v>30</v>
      </c>
      <c r="AF10" s="246">
        <f t="shared" si="14"/>
        <v>110</v>
      </c>
      <c r="AG10" s="259" t="s">
        <v>302</v>
      </c>
      <c r="AH10" s="260" t="s">
        <v>191</v>
      </c>
      <c r="AI10" s="261" t="s">
        <v>200</v>
      </c>
    </row>
    <row r="11">
      <c r="B11" s="235" t="s">
        <v>291</v>
      </c>
      <c r="C11" s="263">
        <v>0.0</v>
      </c>
      <c r="D11" s="264">
        <v>4.0</v>
      </c>
      <c r="E11" s="264">
        <v>16.0</v>
      </c>
      <c r="F11" s="263">
        <v>0.0</v>
      </c>
      <c r="G11" s="264">
        <v>5.0</v>
      </c>
      <c r="H11" s="264">
        <v>19.0</v>
      </c>
      <c r="I11" s="263">
        <v>0.0</v>
      </c>
      <c r="J11" s="264">
        <v>3.0</v>
      </c>
      <c r="K11" s="264">
        <v>10.0</v>
      </c>
      <c r="L11" s="263">
        <v>0.0</v>
      </c>
      <c r="M11" s="264">
        <v>4.0</v>
      </c>
      <c r="N11" s="264">
        <v>16.0</v>
      </c>
      <c r="O11" s="263">
        <v>0.0</v>
      </c>
      <c r="P11" s="264">
        <v>4.0</v>
      </c>
      <c r="Q11" s="264">
        <v>14.0</v>
      </c>
      <c r="R11" s="235">
        <v>0.0</v>
      </c>
      <c r="S11" s="236">
        <v>3.0</v>
      </c>
      <c r="T11" s="236">
        <v>11.0</v>
      </c>
      <c r="U11" s="235">
        <v>1.0</v>
      </c>
      <c r="V11" s="236">
        <v>5.0</v>
      </c>
      <c r="W11" s="236">
        <v>18.0</v>
      </c>
      <c r="X11" s="237">
        <f t="shared" ref="X11:Z11" si="15">C11+F11+I11+L11+O11+R11+U11</f>
        <v>1</v>
      </c>
      <c r="Y11" s="263">
        <f t="shared" si="15"/>
        <v>28</v>
      </c>
      <c r="Z11" s="265">
        <f t="shared" si="15"/>
        <v>104</v>
      </c>
      <c r="AB11" s="266">
        <v>8.0</v>
      </c>
      <c r="AC11" s="266" t="s">
        <v>291</v>
      </c>
      <c r="AD11" s="266">
        <f t="shared" ref="AD11:AF11" si="16">X11</f>
        <v>1</v>
      </c>
      <c r="AE11" s="266">
        <f t="shared" si="16"/>
        <v>28</v>
      </c>
      <c r="AF11" s="266">
        <f t="shared" si="16"/>
        <v>104</v>
      </c>
      <c r="AG11" s="255" t="s">
        <v>181</v>
      </c>
      <c r="AH11" s="256" t="s">
        <v>190</v>
      </c>
      <c r="AI11" s="257" t="s">
        <v>199</v>
      </c>
    </row>
    <row r="12">
      <c r="A12" s="19"/>
      <c r="B12" s="19"/>
      <c r="C12" s="19">
        <f>SUM(C4:C11)</f>
        <v>4</v>
      </c>
      <c r="D12" s="19"/>
      <c r="E12" s="19"/>
      <c r="F12" s="19">
        <f>SUM(F4:F11)</f>
        <v>4</v>
      </c>
      <c r="G12" s="19"/>
      <c r="H12" s="19"/>
      <c r="I12" s="19">
        <f>SUM(I4:I11)</f>
        <v>4</v>
      </c>
      <c r="J12" s="19"/>
      <c r="K12" s="19"/>
      <c r="L12" s="19">
        <f>SUM(L4:L11)</f>
        <v>4</v>
      </c>
      <c r="M12" s="19"/>
      <c r="N12" s="19"/>
      <c r="O12" s="19">
        <f>SUM(O4:O11)</f>
        <v>4</v>
      </c>
      <c r="P12" s="19"/>
      <c r="Q12" s="19"/>
      <c r="R12" s="19">
        <f>SUM(R4:R11)</f>
        <v>4</v>
      </c>
      <c r="S12" s="19"/>
      <c r="T12" s="19"/>
      <c r="U12" s="19">
        <f>SUM(U4:U11)</f>
        <v>4</v>
      </c>
      <c r="V12" s="19"/>
      <c r="W12" s="19"/>
      <c r="X12" s="19">
        <f>SUM(X4:X11)</f>
        <v>28</v>
      </c>
      <c r="Y12" s="19"/>
      <c r="Z12" s="19"/>
    </row>
    <row r="13">
      <c r="A13" s="267"/>
      <c r="B13" s="267"/>
      <c r="C13" s="267"/>
      <c r="D13" s="267"/>
      <c r="E13" s="267"/>
      <c r="F13" s="267"/>
      <c r="G13" s="267"/>
      <c r="H13" s="267"/>
      <c r="I13" s="267"/>
      <c r="J13" s="258"/>
      <c r="K13" s="258"/>
    </row>
    <row r="14">
      <c r="A14" s="268" t="s">
        <v>303</v>
      </c>
    </row>
    <row r="15">
      <c r="A15" s="269"/>
      <c r="B15" s="235" t="s">
        <v>293</v>
      </c>
      <c r="C15" s="236" t="s">
        <v>295</v>
      </c>
      <c r="D15" s="236" t="s">
        <v>297</v>
      </c>
      <c r="E15" s="236" t="s">
        <v>299</v>
      </c>
      <c r="F15" s="236" t="s">
        <v>301</v>
      </c>
      <c r="G15" s="236" t="s">
        <v>291</v>
      </c>
      <c r="H15" s="236" t="s">
        <v>300</v>
      </c>
      <c r="I15" s="236" t="s">
        <v>296</v>
      </c>
    </row>
    <row r="16">
      <c r="A16" s="37" t="s">
        <v>304</v>
      </c>
      <c r="B16" s="246">
        <v>21.0</v>
      </c>
      <c r="C16" s="37">
        <v>18.0</v>
      </c>
      <c r="D16" s="37">
        <v>18.0</v>
      </c>
      <c r="E16" s="37">
        <v>22.0</v>
      </c>
      <c r="F16" s="37">
        <v>14.0</v>
      </c>
      <c r="G16" s="37">
        <v>16.0</v>
      </c>
      <c r="H16" s="37">
        <v>21.0</v>
      </c>
      <c r="I16" s="37">
        <v>10.0</v>
      </c>
      <c r="AJ16" s="270"/>
      <c r="AK16" s="270"/>
      <c r="AL16" s="270"/>
      <c r="AM16" s="270"/>
      <c r="AN16" s="270"/>
      <c r="AO16" s="270"/>
      <c r="AP16" s="270"/>
      <c r="AQ16" s="270"/>
      <c r="AR16" s="270"/>
      <c r="AS16" s="270"/>
      <c r="AT16" s="270"/>
      <c r="AU16" s="270"/>
      <c r="AV16" s="270"/>
      <c r="AW16" s="270"/>
    </row>
    <row r="17">
      <c r="A17" s="37" t="s">
        <v>305</v>
      </c>
      <c r="B17" s="246">
        <v>16.0</v>
      </c>
      <c r="C17" s="37">
        <v>17.0</v>
      </c>
      <c r="D17" s="37">
        <v>9.0</v>
      </c>
      <c r="E17" s="37">
        <v>24.0</v>
      </c>
      <c r="F17" s="37">
        <v>21.0</v>
      </c>
      <c r="G17" s="37">
        <v>19.0</v>
      </c>
      <c r="H17" s="37">
        <v>18.0</v>
      </c>
      <c r="I17" s="37">
        <v>20.0</v>
      </c>
      <c r="AJ17" s="270"/>
      <c r="AK17" s="270"/>
      <c r="AL17" s="270"/>
      <c r="AM17" s="270"/>
      <c r="AN17" s="270"/>
      <c r="AO17" s="270"/>
      <c r="AP17" s="270"/>
      <c r="AQ17" s="270"/>
      <c r="AR17" s="270"/>
      <c r="AS17" s="270"/>
      <c r="AT17" s="270"/>
      <c r="AU17" s="270"/>
      <c r="AV17" s="270"/>
      <c r="AW17" s="270"/>
    </row>
    <row r="18">
      <c r="A18" s="37" t="s">
        <v>306</v>
      </c>
      <c r="B18" s="246">
        <v>16.0</v>
      </c>
      <c r="C18" s="37">
        <v>22.0</v>
      </c>
      <c r="D18" s="37">
        <v>11.0</v>
      </c>
      <c r="E18" s="37">
        <v>20.0</v>
      </c>
      <c r="F18" s="37">
        <v>19.0</v>
      </c>
      <c r="G18" s="37">
        <v>10.0</v>
      </c>
      <c r="H18" s="37">
        <v>7.0</v>
      </c>
      <c r="I18" s="37">
        <v>18.0</v>
      </c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</row>
    <row r="19">
      <c r="A19" s="269"/>
      <c r="B19" s="271"/>
      <c r="C19" s="206"/>
      <c r="D19" s="206"/>
      <c r="E19" s="206"/>
      <c r="F19" s="206"/>
      <c r="G19" s="206"/>
      <c r="H19" s="206"/>
      <c r="I19" s="206"/>
      <c r="AJ19" s="270"/>
      <c r="AK19" s="270"/>
      <c r="AL19" s="270"/>
      <c r="AM19" s="270"/>
      <c r="AN19" s="270"/>
      <c r="AO19" s="270"/>
      <c r="AP19" s="270"/>
      <c r="AQ19" s="270"/>
      <c r="AR19" s="270"/>
      <c r="AS19" s="270"/>
      <c r="AT19" s="270"/>
      <c r="AU19" s="270"/>
      <c r="AV19" s="270"/>
      <c r="AW19" s="270"/>
    </row>
    <row r="20">
      <c r="A20" s="37" t="s">
        <v>307</v>
      </c>
      <c r="B20" s="272">
        <f t="shared" ref="B20:I20" si="17">SUM(B16:B18)</f>
        <v>53</v>
      </c>
      <c r="C20" s="19">
        <f t="shared" si="17"/>
        <v>57</v>
      </c>
      <c r="D20" s="19">
        <f t="shared" si="17"/>
        <v>38</v>
      </c>
      <c r="E20" s="273">
        <f t="shared" si="17"/>
        <v>66</v>
      </c>
      <c r="F20" s="19">
        <f t="shared" si="17"/>
        <v>54</v>
      </c>
      <c r="G20" s="19">
        <f t="shared" si="17"/>
        <v>45</v>
      </c>
      <c r="H20" s="19">
        <f t="shared" si="17"/>
        <v>46</v>
      </c>
      <c r="I20" s="274">
        <f t="shared" si="17"/>
        <v>48</v>
      </c>
      <c r="AJ20" s="270"/>
      <c r="AK20" s="270"/>
      <c r="AL20" s="270"/>
      <c r="AM20" s="270"/>
      <c r="AN20" s="270"/>
      <c r="AO20" s="270"/>
      <c r="AP20" s="270"/>
      <c r="AQ20" s="270"/>
      <c r="AR20" s="270"/>
      <c r="AS20" s="270"/>
      <c r="AT20" s="270"/>
      <c r="AU20" s="270"/>
      <c r="AV20" s="270"/>
      <c r="AW20" s="270"/>
    </row>
    <row r="21">
      <c r="A21" s="37" t="s">
        <v>308</v>
      </c>
      <c r="B21" s="246">
        <v>53.0</v>
      </c>
      <c r="C21" s="37">
        <v>57.0</v>
      </c>
      <c r="D21" s="37">
        <v>38.0</v>
      </c>
      <c r="E21" s="275">
        <v>64.0</v>
      </c>
      <c r="F21" s="37">
        <v>54.0</v>
      </c>
      <c r="G21" s="37">
        <v>45.0</v>
      </c>
      <c r="H21" s="37">
        <v>46.0</v>
      </c>
      <c r="I21" s="276">
        <v>48.0</v>
      </c>
      <c r="AJ21" s="270"/>
      <c r="AK21" s="270"/>
      <c r="AL21" s="270"/>
      <c r="AM21" s="270"/>
      <c r="AN21" s="270"/>
      <c r="AO21" s="270"/>
      <c r="AP21" s="270"/>
      <c r="AQ21" s="270"/>
      <c r="AR21" s="270"/>
      <c r="AS21" s="270"/>
      <c r="AT21" s="270"/>
      <c r="AU21" s="270"/>
      <c r="AV21" s="270"/>
      <c r="AW21" s="270"/>
    </row>
    <row r="22">
      <c r="A22" s="19"/>
      <c r="B22" s="19"/>
      <c r="AJ22" s="270"/>
      <c r="AK22" s="270"/>
      <c r="AL22" s="270"/>
      <c r="AM22" s="270"/>
      <c r="AN22" s="270"/>
      <c r="AO22" s="270"/>
      <c r="AP22" s="270"/>
      <c r="AQ22" s="270"/>
      <c r="AR22" s="270"/>
      <c r="AS22" s="270"/>
      <c r="AT22" s="270"/>
      <c r="AU22" s="270"/>
      <c r="AV22" s="270"/>
      <c r="AW22" s="270"/>
    </row>
    <row r="23">
      <c r="AJ23" s="270"/>
      <c r="AK23" s="270"/>
      <c r="AL23" s="270"/>
      <c r="AM23" s="270"/>
      <c r="AN23" s="270"/>
      <c r="AO23" s="270"/>
      <c r="AP23" s="270"/>
      <c r="AQ23" s="270"/>
      <c r="AR23" s="270"/>
      <c r="AS23" s="270"/>
      <c r="AT23" s="270"/>
      <c r="AU23" s="270"/>
      <c r="AV23" s="270"/>
      <c r="AW23" s="270"/>
    </row>
    <row r="24">
      <c r="J24" s="104"/>
      <c r="K24" s="104"/>
      <c r="O24" s="104"/>
      <c r="P24" s="104"/>
      <c r="Q24" s="104"/>
      <c r="R24" s="104"/>
      <c r="Z24" s="104"/>
      <c r="AA24" s="104"/>
    </row>
    <row r="25">
      <c r="Z25" s="104"/>
      <c r="AA25" s="104"/>
    </row>
    <row r="26">
      <c r="Z26" s="104"/>
    </row>
    <row r="27">
      <c r="Z27" s="104"/>
    </row>
    <row r="28">
      <c r="Z28" s="104"/>
    </row>
    <row r="29">
      <c r="A29" s="19"/>
      <c r="B29" s="19"/>
      <c r="Z29" s="104"/>
    </row>
    <row r="30">
      <c r="A30" s="19"/>
      <c r="B30" s="19"/>
      <c r="Z30" s="104"/>
    </row>
    <row r="31">
      <c r="A31" s="19"/>
      <c r="B31" s="19"/>
      <c r="Z31" s="104"/>
    </row>
    <row r="32">
      <c r="A32" s="19"/>
      <c r="B32" s="19"/>
    </row>
    <row r="33">
      <c r="A33" s="19"/>
      <c r="B33" s="19"/>
    </row>
    <row r="68">
      <c r="A68" s="19"/>
      <c r="B68" s="19"/>
    </row>
    <row r="69">
      <c r="A69" s="19"/>
      <c r="B69" s="19"/>
    </row>
    <row r="70">
      <c r="A70" s="19"/>
      <c r="B70" s="19"/>
    </row>
    <row r="71">
      <c r="A71" s="19"/>
      <c r="B71" s="19"/>
    </row>
    <row r="72">
      <c r="A72" s="19"/>
      <c r="B72" s="19"/>
    </row>
    <row r="73">
      <c r="A73" s="19"/>
      <c r="B73" s="19"/>
    </row>
    <row r="74">
      <c r="A74" s="19"/>
      <c r="B74" s="19"/>
    </row>
    <row r="75">
      <c r="A75" s="19"/>
      <c r="B75" s="19"/>
    </row>
    <row r="76">
      <c r="A76" s="19"/>
      <c r="B76" s="19"/>
    </row>
    <row r="77">
      <c r="A77" s="19"/>
      <c r="B77" s="19"/>
    </row>
    <row r="78">
      <c r="A78" s="19"/>
      <c r="B78" s="19"/>
    </row>
    <row r="79">
      <c r="A79" s="19"/>
      <c r="B79" s="19"/>
    </row>
    <row r="80">
      <c r="A80" s="19"/>
      <c r="B80" s="19"/>
    </row>
    <row r="81">
      <c r="A81" s="19"/>
      <c r="B81" s="19"/>
    </row>
    <row r="82">
      <c r="A82" s="19"/>
      <c r="B82" s="19"/>
    </row>
    <row r="83">
      <c r="A83" s="19"/>
      <c r="B83" s="19"/>
    </row>
    <row r="84">
      <c r="A84" s="19"/>
      <c r="B84" s="19"/>
    </row>
    <row r="85">
      <c r="A85" s="19"/>
      <c r="B85" s="19"/>
    </row>
    <row r="86">
      <c r="A86" s="19"/>
      <c r="B86" s="19"/>
    </row>
    <row r="87">
      <c r="A87" s="19"/>
      <c r="B87" s="19"/>
    </row>
    <row r="88">
      <c r="A88" s="19"/>
      <c r="B88" s="19"/>
    </row>
    <row r="89">
      <c r="A89" s="19"/>
      <c r="B89" s="19"/>
    </row>
    <row r="90">
      <c r="A90" s="19"/>
      <c r="B90" s="19"/>
    </row>
    <row r="91">
      <c r="A91" s="19"/>
      <c r="B91" s="19"/>
    </row>
    <row r="92">
      <c r="A92" s="19"/>
      <c r="B92" s="19"/>
    </row>
    <row r="93">
      <c r="A93" s="19"/>
      <c r="B93" s="19"/>
    </row>
    <row r="94">
      <c r="A94" s="19"/>
      <c r="B94" s="19"/>
    </row>
    <row r="95">
      <c r="A95" s="19"/>
      <c r="B95" s="19"/>
    </row>
    <row r="96">
      <c r="A96" s="19"/>
      <c r="B96" s="19"/>
    </row>
    <row r="97">
      <c r="A97" s="19"/>
      <c r="B97" s="19"/>
    </row>
    <row r="98">
      <c r="A98" s="19"/>
      <c r="B98" s="19"/>
    </row>
    <row r="99">
      <c r="A99" s="19"/>
      <c r="B99" s="19"/>
    </row>
    <row r="100">
      <c r="A100" s="19"/>
      <c r="B100" s="19"/>
    </row>
    <row r="101">
      <c r="A101" s="19"/>
      <c r="B101" s="19"/>
    </row>
    <row r="102">
      <c r="A102" s="19"/>
      <c r="B102" s="19"/>
    </row>
    <row r="103">
      <c r="A103" s="19"/>
      <c r="B103" s="19"/>
    </row>
    <row r="104">
      <c r="A104" s="19"/>
      <c r="B104" s="19"/>
    </row>
    <row r="105">
      <c r="A105" s="19"/>
      <c r="B105" s="19"/>
    </row>
    <row r="106">
      <c r="A106" s="19"/>
      <c r="B106" s="19"/>
    </row>
    <row r="107">
      <c r="A107" s="19"/>
      <c r="B107" s="19"/>
    </row>
    <row r="108">
      <c r="A108" s="19"/>
      <c r="B108" s="19"/>
    </row>
    <row r="109">
      <c r="A109" s="19"/>
      <c r="B109" s="19"/>
    </row>
    <row r="110">
      <c r="A110" s="19"/>
      <c r="B110" s="19"/>
    </row>
    <row r="111">
      <c r="A111" s="19"/>
      <c r="B111" s="19"/>
    </row>
    <row r="112">
      <c r="A112" s="19"/>
      <c r="B112" s="19"/>
    </row>
    <row r="113">
      <c r="A113" s="19"/>
      <c r="B113" s="19"/>
    </row>
    <row r="114">
      <c r="A114" s="19"/>
      <c r="B114" s="19"/>
    </row>
    <row r="115">
      <c r="A115" s="19"/>
      <c r="B115" s="19"/>
    </row>
    <row r="116">
      <c r="A116" s="19"/>
      <c r="B116" s="19"/>
    </row>
    <row r="117">
      <c r="A117" s="19"/>
      <c r="B117" s="19"/>
    </row>
    <row r="118">
      <c r="A118" s="19"/>
      <c r="B118" s="19"/>
    </row>
    <row r="119">
      <c r="A119" s="19"/>
      <c r="B119" s="19"/>
    </row>
    <row r="120">
      <c r="A120" s="19"/>
      <c r="B120" s="19"/>
    </row>
    <row r="121">
      <c r="A121" s="19"/>
      <c r="B121" s="19"/>
    </row>
    <row r="122">
      <c r="A122" s="19"/>
      <c r="B122" s="19"/>
    </row>
    <row r="123">
      <c r="A123" s="19"/>
      <c r="B123" s="19"/>
    </row>
    <row r="124">
      <c r="A124" s="19"/>
      <c r="B124" s="19"/>
    </row>
    <row r="125">
      <c r="A125" s="19"/>
      <c r="B125" s="19"/>
    </row>
    <row r="126">
      <c r="A126" s="19"/>
      <c r="B126" s="19"/>
    </row>
    <row r="127">
      <c r="A127" s="19"/>
      <c r="B127" s="19"/>
    </row>
    <row r="128">
      <c r="A128" s="19"/>
      <c r="B128" s="19"/>
    </row>
    <row r="129">
      <c r="A129" s="19"/>
      <c r="B129" s="19"/>
    </row>
    <row r="130">
      <c r="A130" s="19"/>
      <c r="B130" s="19"/>
    </row>
    <row r="131">
      <c r="A131" s="19"/>
      <c r="B131" s="19"/>
    </row>
    <row r="132">
      <c r="A132" s="19"/>
      <c r="B132" s="19"/>
    </row>
    <row r="133">
      <c r="A133" s="19"/>
      <c r="B133" s="19"/>
    </row>
    <row r="134">
      <c r="A134" s="19"/>
      <c r="B134" s="19"/>
    </row>
    <row r="135">
      <c r="A135" s="19"/>
      <c r="B135" s="19"/>
    </row>
    <row r="136">
      <c r="A136" s="19"/>
      <c r="B136" s="19"/>
    </row>
    <row r="137">
      <c r="A137" s="19"/>
      <c r="B137" s="19"/>
    </row>
    <row r="138">
      <c r="A138" s="19"/>
      <c r="B138" s="19"/>
    </row>
    <row r="139">
      <c r="A139" s="19"/>
      <c r="B139" s="19"/>
    </row>
    <row r="140">
      <c r="A140" s="19"/>
      <c r="B140" s="19"/>
    </row>
    <row r="141">
      <c r="A141" s="19"/>
      <c r="B141" s="19"/>
    </row>
    <row r="142">
      <c r="A142" s="19"/>
      <c r="B142" s="19"/>
    </row>
    <row r="143">
      <c r="A143" s="19"/>
      <c r="B143" s="19"/>
    </row>
    <row r="144">
      <c r="A144" s="19"/>
      <c r="B144" s="19"/>
    </row>
    <row r="145">
      <c r="A145" s="19"/>
      <c r="B145" s="19"/>
    </row>
    <row r="146">
      <c r="A146" s="19"/>
      <c r="B146" s="19"/>
    </row>
    <row r="147">
      <c r="A147" s="19"/>
      <c r="B147" s="19"/>
    </row>
    <row r="148">
      <c r="A148" s="19"/>
      <c r="B148" s="19"/>
    </row>
    <row r="149">
      <c r="A149" s="19"/>
      <c r="B149" s="19"/>
    </row>
    <row r="150">
      <c r="A150" s="19"/>
      <c r="B150" s="19"/>
    </row>
    <row r="151">
      <c r="A151" s="19"/>
      <c r="B151" s="19"/>
    </row>
    <row r="152">
      <c r="A152" s="19"/>
      <c r="B152" s="19"/>
    </row>
    <row r="153">
      <c r="A153" s="19"/>
      <c r="B153" s="19"/>
    </row>
    <row r="154">
      <c r="A154" s="19"/>
      <c r="B154" s="19"/>
    </row>
    <row r="155">
      <c r="A155" s="19"/>
      <c r="B155" s="19"/>
    </row>
    <row r="156">
      <c r="A156" s="19"/>
      <c r="B156" s="19"/>
    </row>
    <row r="157">
      <c r="A157" s="19"/>
      <c r="B157" s="19"/>
    </row>
    <row r="158">
      <c r="A158" s="19"/>
      <c r="B158" s="19"/>
    </row>
    <row r="159">
      <c r="A159" s="19"/>
      <c r="B159" s="19"/>
    </row>
    <row r="160">
      <c r="A160" s="19"/>
      <c r="B160" s="19"/>
    </row>
    <row r="161">
      <c r="A161" s="19"/>
      <c r="B161" s="19"/>
    </row>
    <row r="162">
      <c r="A162" s="19"/>
      <c r="B162" s="19"/>
    </row>
    <row r="163">
      <c r="A163" s="19"/>
      <c r="B163" s="19"/>
    </row>
    <row r="164">
      <c r="A164" s="19"/>
      <c r="B164" s="19"/>
    </row>
    <row r="165">
      <c r="A165" s="19"/>
      <c r="B165" s="19"/>
    </row>
    <row r="166">
      <c r="A166" s="19"/>
      <c r="B166" s="19"/>
    </row>
    <row r="167">
      <c r="A167" s="19"/>
      <c r="B167" s="19"/>
    </row>
    <row r="168">
      <c r="A168" s="19"/>
      <c r="B168" s="19"/>
    </row>
    <row r="169">
      <c r="A169" s="19"/>
      <c r="B169" s="19"/>
    </row>
    <row r="170">
      <c r="A170" s="19"/>
      <c r="B170" s="19"/>
    </row>
    <row r="171">
      <c r="A171" s="19"/>
      <c r="B171" s="19"/>
    </row>
    <row r="172">
      <c r="A172" s="19"/>
      <c r="B172" s="19"/>
    </row>
    <row r="173">
      <c r="A173" s="19"/>
      <c r="B173" s="19"/>
    </row>
    <row r="174">
      <c r="A174" s="19"/>
      <c r="B174" s="19"/>
    </row>
    <row r="175">
      <c r="A175" s="19"/>
      <c r="B175" s="19"/>
    </row>
    <row r="176">
      <c r="A176" s="19"/>
      <c r="B176" s="19"/>
    </row>
    <row r="177">
      <c r="A177" s="19"/>
      <c r="B177" s="19"/>
    </row>
    <row r="178">
      <c r="A178" s="19"/>
      <c r="B178" s="19"/>
    </row>
    <row r="179">
      <c r="A179" s="19"/>
      <c r="B179" s="19"/>
    </row>
    <row r="180">
      <c r="A180" s="19"/>
      <c r="B180" s="19"/>
    </row>
    <row r="181">
      <c r="A181" s="19"/>
      <c r="B181" s="19"/>
    </row>
    <row r="182">
      <c r="A182" s="19"/>
      <c r="B182" s="19"/>
    </row>
    <row r="183">
      <c r="A183" s="19"/>
      <c r="B183" s="19"/>
    </row>
    <row r="184">
      <c r="A184" s="19"/>
      <c r="B184" s="19"/>
    </row>
    <row r="185">
      <c r="A185" s="19"/>
      <c r="B185" s="19"/>
    </row>
    <row r="186">
      <c r="A186" s="19"/>
      <c r="B186" s="19"/>
    </row>
    <row r="187">
      <c r="A187" s="19"/>
      <c r="B187" s="19"/>
    </row>
    <row r="188">
      <c r="A188" s="19"/>
      <c r="B188" s="19"/>
    </row>
    <row r="189">
      <c r="A189" s="19"/>
      <c r="B189" s="19"/>
    </row>
    <row r="190">
      <c r="A190" s="19"/>
      <c r="B190" s="19"/>
    </row>
    <row r="191">
      <c r="A191" s="19"/>
      <c r="B191" s="19"/>
    </row>
    <row r="192">
      <c r="A192" s="19"/>
      <c r="B192" s="19"/>
    </row>
    <row r="193">
      <c r="A193" s="19"/>
      <c r="B193" s="19"/>
    </row>
    <row r="194">
      <c r="A194" s="19"/>
      <c r="B194" s="19"/>
    </row>
    <row r="195">
      <c r="A195" s="19"/>
      <c r="B195" s="19"/>
    </row>
    <row r="196">
      <c r="A196" s="19"/>
      <c r="B196" s="19"/>
    </row>
    <row r="197">
      <c r="A197" s="19"/>
      <c r="B197" s="19"/>
    </row>
    <row r="198">
      <c r="A198" s="19"/>
      <c r="B198" s="19"/>
    </row>
    <row r="199">
      <c r="A199" s="19"/>
      <c r="B199" s="19"/>
    </row>
    <row r="200">
      <c r="A200" s="19"/>
      <c r="B200" s="19"/>
    </row>
    <row r="201">
      <c r="A201" s="19"/>
      <c r="B201" s="19"/>
    </row>
    <row r="202">
      <c r="A202" s="19"/>
      <c r="B202" s="19"/>
    </row>
    <row r="203">
      <c r="A203" s="19"/>
      <c r="B203" s="19"/>
    </row>
    <row r="204">
      <c r="A204" s="19"/>
      <c r="B204" s="19"/>
    </row>
    <row r="205">
      <c r="A205" s="19"/>
      <c r="B205" s="19"/>
    </row>
    <row r="206">
      <c r="A206" s="19"/>
      <c r="B206" s="19"/>
    </row>
    <row r="207">
      <c r="A207" s="19"/>
      <c r="B207" s="19"/>
    </row>
    <row r="208">
      <c r="A208" s="19"/>
      <c r="B208" s="19"/>
    </row>
    <row r="209">
      <c r="A209" s="19"/>
      <c r="B209" s="19"/>
    </row>
    <row r="210">
      <c r="A210" s="19"/>
      <c r="B210" s="19"/>
    </row>
    <row r="211">
      <c r="A211" s="19"/>
      <c r="B211" s="19"/>
    </row>
    <row r="212">
      <c r="A212" s="19"/>
      <c r="B212" s="19"/>
    </row>
    <row r="213">
      <c r="A213" s="19"/>
      <c r="B213" s="19"/>
    </row>
    <row r="214">
      <c r="A214" s="19"/>
      <c r="B214" s="19"/>
    </row>
    <row r="215">
      <c r="A215" s="19"/>
      <c r="B215" s="19"/>
    </row>
    <row r="216">
      <c r="A216" s="19"/>
      <c r="B216" s="19"/>
    </row>
    <row r="217">
      <c r="A217" s="19"/>
      <c r="B217" s="19"/>
    </row>
    <row r="218">
      <c r="A218" s="19"/>
      <c r="B218" s="19"/>
    </row>
    <row r="219">
      <c r="A219" s="19"/>
      <c r="B219" s="19"/>
    </row>
    <row r="220">
      <c r="A220" s="19"/>
      <c r="B220" s="19"/>
    </row>
    <row r="221">
      <c r="A221" s="19"/>
      <c r="B221" s="19"/>
    </row>
    <row r="222">
      <c r="A222" s="19"/>
      <c r="B222" s="19"/>
    </row>
    <row r="223">
      <c r="A223" s="19"/>
      <c r="B223" s="19"/>
    </row>
    <row r="224">
      <c r="A224" s="19"/>
      <c r="B224" s="19"/>
    </row>
    <row r="225">
      <c r="A225" s="19"/>
      <c r="B225" s="19"/>
    </row>
    <row r="226">
      <c r="A226" s="19"/>
      <c r="B226" s="19"/>
    </row>
    <row r="227">
      <c r="A227" s="19"/>
      <c r="B227" s="19"/>
    </row>
    <row r="228">
      <c r="A228" s="19"/>
      <c r="B228" s="19"/>
    </row>
    <row r="229">
      <c r="A229" s="19"/>
      <c r="B229" s="19"/>
    </row>
    <row r="230">
      <c r="A230" s="19"/>
      <c r="B230" s="19"/>
    </row>
    <row r="231">
      <c r="A231" s="19"/>
      <c r="B231" s="19"/>
    </row>
    <row r="232">
      <c r="A232" s="19"/>
      <c r="B232" s="19"/>
    </row>
    <row r="233">
      <c r="A233" s="19"/>
      <c r="B233" s="19"/>
    </row>
    <row r="234">
      <c r="A234" s="19"/>
      <c r="B234" s="19"/>
    </row>
    <row r="235">
      <c r="A235" s="19"/>
      <c r="B235" s="19"/>
    </row>
    <row r="236">
      <c r="A236" s="19"/>
      <c r="B236" s="19"/>
    </row>
    <row r="237">
      <c r="A237" s="19"/>
      <c r="B237" s="19"/>
    </row>
    <row r="238">
      <c r="A238" s="19"/>
      <c r="B238" s="19"/>
    </row>
    <row r="239">
      <c r="A239" s="19"/>
      <c r="B239" s="19"/>
    </row>
    <row r="240">
      <c r="A240" s="19"/>
      <c r="B240" s="19"/>
    </row>
    <row r="241">
      <c r="A241" s="19"/>
      <c r="B241" s="19"/>
    </row>
    <row r="242">
      <c r="A242" s="19"/>
      <c r="B242" s="19"/>
    </row>
    <row r="243">
      <c r="A243" s="19"/>
      <c r="B243" s="19"/>
    </row>
    <row r="244">
      <c r="A244" s="19"/>
      <c r="B244" s="19"/>
    </row>
    <row r="245">
      <c r="A245" s="19"/>
      <c r="B245" s="19"/>
    </row>
    <row r="246">
      <c r="A246" s="19"/>
      <c r="B246" s="19"/>
    </row>
    <row r="247">
      <c r="A247" s="19"/>
      <c r="B247" s="19"/>
    </row>
    <row r="248">
      <c r="A248" s="19"/>
      <c r="B248" s="19"/>
    </row>
    <row r="249">
      <c r="A249" s="19"/>
      <c r="B249" s="19"/>
    </row>
    <row r="250">
      <c r="A250" s="19"/>
      <c r="B250" s="19"/>
    </row>
    <row r="251">
      <c r="A251" s="19"/>
      <c r="B251" s="19"/>
    </row>
    <row r="252">
      <c r="A252" s="19"/>
      <c r="B252" s="19"/>
    </row>
    <row r="253">
      <c r="A253" s="19"/>
      <c r="B253" s="19"/>
    </row>
    <row r="254">
      <c r="A254" s="19"/>
      <c r="B254" s="19"/>
    </row>
    <row r="255">
      <c r="A255" s="19"/>
      <c r="B255" s="19"/>
    </row>
    <row r="256">
      <c r="A256" s="19"/>
      <c r="B256" s="19"/>
    </row>
    <row r="257">
      <c r="A257" s="19"/>
      <c r="B257" s="19"/>
    </row>
    <row r="258">
      <c r="A258" s="19"/>
      <c r="B258" s="19"/>
    </row>
    <row r="259">
      <c r="A259" s="19"/>
      <c r="B259" s="19"/>
    </row>
    <row r="260">
      <c r="A260" s="19"/>
      <c r="B260" s="19"/>
    </row>
    <row r="261">
      <c r="A261" s="19"/>
      <c r="B261" s="19"/>
    </row>
    <row r="262">
      <c r="A262" s="19"/>
      <c r="B262" s="19"/>
    </row>
    <row r="263">
      <c r="A263" s="19"/>
      <c r="B263" s="19"/>
    </row>
    <row r="264">
      <c r="A264" s="19"/>
      <c r="B264" s="19"/>
    </row>
    <row r="265">
      <c r="A265" s="19"/>
      <c r="B265" s="19"/>
    </row>
    <row r="266">
      <c r="A266" s="19"/>
      <c r="B266" s="19"/>
    </row>
    <row r="267">
      <c r="A267" s="19"/>
      <c r="B267" s="19"/>
    </row>
    <row r="268">
      <c r="A268" s="19"/>
      <c r="B268" s="19"/>
    </row>
    <row r="269">
      <c r="A269" s="19"/>
      <c r="B269" s="19"/>
    </row>
    <row r="270">
      <c r="A270" s="19"/>
      <c r="B270" s="19"/>
    </row>
    <row r="271">
      <c r="A271" s="19"/>
      <c r="B271" s="19"/>
    </row>
    <row r="272">
      <c r="A272" s="19"/>
      <c r="B272" s="19"/>
    </row>
    <row r="273">
      <c r="A273" s="19"/>
      <c r="B273" s="19"/>
    </row>
    <row r="274">
      <c r="A274" s="19"/>
      <c r="B274" s="19"/>
    </row>
    <row r="275">
      <c r="A275" s="19"/>
      <c r="B275" s="19"/>
    </row>
    <row r="276">
      <c r="A276" s="19"/>
      <c r="B276" s="19"/>
    </row>
    <row r="277">
      <c r="A277" s="19"/>
      <c r="B277" s="19"/>
    </row>
    <row r="278">
      <c r="A278" s="19"/>
      <c r="B278" s="19"/>
    </row>
    <row r="279">
      <c r="A279" s="19"/>
      <c r="B279" s="19"/>
    </row>
    <row r="280">
      <c r="A280" s="19"/>
      <c r="B280" s="19"/>
    </row>
    <row r="281">
      <c r="A281" s="19"/>
      <c r="B281" s="19"/>
    </row>
    <row r="282">
      <c r="A282" s="19"/>
      <c r="B282" s="19"/>
    </row>
    <row r="283">
      <c r="A283" s="19"/>
      <c r="B283" s="19"/>
    </row>
    <row r="284">
      <c r="A284" s="19"/>
      <c r="B284" s="19"/>
    </row>
    <row r="285">
      <c r="A285" s="19"/>
      <c r="B285" s="19"/>
    </row>
    <row r="286">
      <c r="A286" s="19"/>
      <c r="B286" s="19"/>
    </row>
    <row r="287">
      <c r="A287" s="19"/>
      <c r="B287" s="19"/>
    </row>
    <row r="288">
      <c r="A288" s="19"/>
      <c r="B288" s="19"/>
    </row>
    <row r="289">
      <c r="A289" s="19"/>
      <c r="B289" s="19"/>
    </row>
    <row r="290">
      <c r="A290" s="19"/>
      <c r="B290" s="19"/>
    </row>
    <row r="291">
      <c r="A291" s="19"/>
      <c r="B291" s="19"/>
    </row>
    <row r="292">
      <c r="A292" s="19"/>
      <c r="B292" s="19"/>
    </row>
    <row r="293">
      <c r="A293" s="19"/>
      <c r="B293" s="19"/>
    </row>
    <row r="294">
      <c r="A294" s="19"/>
      <c r="B294" s="19"/>
    </row>
    <row r="295">
      <c r="A295" s="19"/>
      <c r="B295" s="19"/>
    </row>
    <row r="296">
      <c r="A296" s="19"/>
      <c r="B296" s="19"/>
    </row>
    <row r="297">
      <c r="A297" s="19"/>
      <c r="B297" s="19"/>
    </row>
    <row r="298">
      <c r="A298" s="19"/>
      <c r="B298" s="19"/>
    </row>
    <row r="299">
      <c r="A299" s="19"/>
      <c r="B299" s="19"/>
    </row>
    <row r="300">
      <c r="A300" s="19"/>
      <c r="B300" s="19"/>
    </row>
    <row r="301">
      <c r="A301" s="19"/>
      <c r="B301" s="19"/>
    </row>
    <row r="302">
      <c r="A302" s="19"/>
      <c r="B302" s="19"/>
    </row>
    <row r="303">
      <c r="A303" s="19"/>
      <c r="B303" s="19"/>
    </row>
    <row r="304">
      <c r="A304" s="19"/>
      <c r="B304" s="19"/>
    </row>
    <row r="305">
      <c r="A305" s="19"/>
      <c r="B305" s="19"/>
    </row>
    <row r="306">
      <c r="A306" s="19"/>
      <c r="B306" s="19"/>
    </row>
    <row r="307">
      <c r="A307" s="19"/>
      <c r="B307" s="19"/>
    </row>
    <row r="308">
      <c r="A308" s="19"/>
      <c r="B308" s="19"/>
    </row>
    <row r="309">
      <c r="A309" s="19"/>
      <c r="B309" s="19"/>
    </row>
    <row r="310">
      <c r="A310" s="19"/>
      <c r="B310" s="19"/>
    </row>
    <row r="311">
      <c r="A311" s="19"/>
      <c r="B311" s="19"/>
    </row>
    <row r="312">
      <c r="A312" s="19"/>
      <c r="B312" s="19"/>
    </row>
    <row r="313">
      <c r="A313" s="19"/>
      <c r="B313" s="19"/>
    </row>
    <row r="314">
      <c r="A314" s="19"/>
      <c r="B314" s="19"/>
    </row>
    <row r="315">
      <c r="A315" s="19"/>
      <c r="B315" s="19"/>
    </row>
    <row r="316">
      <c r="A316" s="19"/>
      <c r="B316" s="19"/>
    </row>
    <row r="317">
      <c r="A317" s="19"/>
      <c r="B317" s="19"/>
    </row>
    <row r="318">
      <c r="A318" s="19"/>
      <c r="B318" s="19"/>
    </row>
    <row r="319">
      <c r="A319" s="19"/>
      <c r="B319" s="19"/>
    </row>
    <row r="320">
      <c r="A320" s="19"/>
      <c r="B320" s="19"/>
    </row>
    <row r="321">
      <c r="A321" s="19"/>
      <c r="B321" s="19"/>
    </row>
    <row r="322">
      <c r="A322" s="19"/>
      <c r="B322" s="19"/>
    </row>
    <row r="323">
      <c r="A323" s="19"/>
      <c r="B323" s="19"/>
    </row>
    <row r="324">
      <c r="A324" s="19"/>
      <c r="B324" s="19"/>
    </row>
    <row r="325">
      <c r="A325" s="19"/>
      <c r="B325" s="19"/>
    </row>
    <row r="326">
      <c r="A326" s="19"/>
      <c r="B326" s="19"/>
    </row>
    <row r="327">
      <c r="A327" s="19"/>
      <c r="B327" s="19"/>
    </row>
    <row r="328">
      <c r="A328" s="19"/>
      <c r="B328" s="19"/>
    </row>
    <row r="329">
      <c r="A329" s="19"/>
      <c r="B329" s="19"/>
    </row>
    <row r="330">
      <c r="A330" s="19"/>
      <c r="B330" s="19"/>
    </row>
    <row r="331">
      <c r="A331" s="19"/>
      <c r="B331" s="19"/>
    </row>
    <row r="332">
      <c r="A332" s="19"/>
      <c r="B332" s="19"/>
    </row>
    <row r="333">
      <c r="A333" s="19"/>
      <c r="B333" s="19"/>
    </row>
    <row r="334">
      <c r="A334" s="19"/>
      <c r="B334" s="19"/>
    </row>
    <row r="335">
      <c r="A335" s="19"/>
      <c r="B335" s="19"/>
    </row>
    <row r="336">
      <c r="A336" s="19"/>
      <c r="B336" s="19"/>
    </row>
    <row r="337">
      <c r="A337" s="19"/>
      <c r="B337" s="19"/>
    </row>
    <row r="338">
      <c r="A338" s="19"/>
      <c r="B338" s="19"/>
    </row>
    <row r="339">
      <c r="A339" s="19"/>
      <c r="B339" s="19"/>
    </row>
    <row r="340">
      <c r="A340" s="19"/>
      <c r="B340" s="19"/>
    </row>
    <row r="341">
      <c r="A341" s="19"/>
      <c r="B341" s="19"/>
    </row>
    <row r="342">
      <c r="A342" s="19"/>
      <c r="B342" s="19"/>
    </row>
    <row r="343">
      <c r="A343" s="19"/>
      <c r="B343" s="19"/>
    </row>
    <row r="344">
      <c r="A344" s="19"/>
      <c r="B344" s="19"/>
    </row>
    <row r="345">
      <c r="A345" s="19"/>
      <c r="B345" s="19"/>
    </row>
    <row r="346">
      <c r="A346" s="19"/>
      <c r="B346" s="19"/>
    </row>
    <row r="347">
      <c r="A347" s="19"/>
      <c r="B347" s="19"/>
    </row>
    <row r="348">
      <c r="A348" s="19"/>
      <c r="B348" s="19"/>
    </row>
    <row r="349">
      <c r="A349" s="19"/>
      <c r="B349" s="19"/>
    </row>
    <row r="350">
      <c r="A350" s="19"/>
      <c r="B350" s="19"/>
    </row>
    <row r="351">
      <c r="A351" s="19"/>
      <c r="B351" s="19"/>
    </row>
    <row r="352">
      <c r="A352" s="19"/>
      <c r="B352" s="19"/>
    </row>
    <row r="353">
      <c r="A353" s="19"/>
      <c r="B353" s="19"/>
    </row>
    <row r="354">
      <c r="A354" s="19"/>
      <c r="B354" s="19"/>
    </row>
    <row r="355">
      <c r="A355" s="19"/>
      <c r="B355" s="19"/>
    </row>
    <row r="356">
      <c r="A356" s="19"/>
      <c r="B356" s="19"/>
    </row>
    <row r="357">
      <c r="A357" s="19"/>
      <c r="B357" s="19"/>
    </row>
    <row r="358">
      <c r="A358" s="19"/>
      <c r="B358" s="19"/>
    </row>
    <row r="359">
      <c r="A359" s="19"/>
      <c r="B359" s="19"/>
    </row>
    <row r="360">
      <c r="A360" s="19"/>
      <c r="B360" s="19"/>
    </row>
    <row r="361">
      <c r="A361" s="19"/>
      <c r="B361" s="19"/>
    </row>
    <row r="362">
      <c r="A362" s="19"/>
      <c r="B362" s="19"/>
    </row>
    <row r="363">
      <c r="A363" s="19"/>
      <c r="B363" s="19"/>
    </row>
    <row r="364">
      <c r="A364" s="19"/>
      <c r="B364" s="19"/>
    </row>
    <row r="365">
      <c r="A365" s="19"/>
      <c r="B365" s="19"/>
    </row>
    <row r="366">
      <c r="A366" s="19"/>
      <c r="B366" s="19"/>
    </row>
    <row r="367">
      <c r="A367" s="19"/>
      <c r="B367" s="19"/>
    </row>
    <row r="368">
      <c r="A368" s="19"/>
      <c r="B368" s="19"/>
    </row>
    <row r="369">
      <c r="A369" s="19"/>
      <c r="B369" s="19"/>
    </row>
    <row r="370">
      <c r="A370" s="19"/>
      <c r="B370" s="19"/>
    </row>
    <row r="371">
      <c r="A371" s="19"/>
      <c r="B371" s="19"/>
    </row>
    <row r="372">
      <c r="A372" s="19"/>
      <c r="B372" s="19"/>
    </row>
    <row r="373">
      <c r="A373" s="19"/>
      <c r="B373" s="19"/>
    </row>
    <row r="374">
      <c r="A374" s="19"/>
      <c r="B374" s="19"/>
    </row>
    <row r="375">
      <c r="A375" s="19"/>
      <c r="B375" s="19"/>
    </row>
    <row r="376">
      <c r="A376" s="19"/>
      <c r="B376" s="19"/>
    </row>
    <row r="377">
      <c r="A377" s="19"/>
      <c r="B377" s="19"/>
    </row>
    <row r="378">
      <c r="A378" s="19"/>
      <c r="B378" s="19"/>
    </row>
    <row r="379">
      <c r="A379" s="19"/>
      <c r="B379" s="19"/>
    </row>
    <row r="380">
      <c r="A380" s="19"/>
      <c r="B380" s="19"/>
    </row>
    <row r="381">
      <c r="A381" s="19"/>
      <c r="B381" s="19"/>
    </row>
    <row r="382">
      <c r="A382" s="19"/>
      <c r="B382" s="19"/>
    </row>
    <row r="383">
      <c r="A383" s="19"/>
      <c r="B383" s="19"/>
    </row>
    <row r="384">
      <c r="A384" s="19"/>
      <c r="B384" s="19"/>
    </row>
    <row r="385">
      <c r="A385" s="19"/>
      <c r="B385" s="19"/>
    </row>
    <row r="386">
      <c r="A386" s="19"/>
      <c r="B386" s="19"/>
    </row>
    <row r="387">
      <c r="A387" s="19"/>
      <c r="B387" s="19"/>
    </row>
    <row r="388">
      <c r="A388" s="19"/>
      <c r="B388" s="19"/>
    </row>
    <row r="389">
      <c r="A389" s="19"/>
      <c r="B389" s="19"/>
    </row>
    <row r="390">
      <c r="A390" s="19"/>
      <c r="B390" s="19"/>
    </row>
    <row r="391">
      <c r="A391" s="19"/>
      <c r="B391" s="19"/>
    </row>
    <row r="392">
      <c r="A392" s="19"/>
      <c r="B392" s="19"/>
    </row>
    <row r="393">
      <c r="A393" s="19"/>
      <c r="B393" s="19"/>
    </row>
    <row r="394">
      <c r="A394" s="19"/>
      <c r="B394" s="19"/>
    </row>
    <row r="395">
      <c r="A395" s="19"/>
      <c r="B395" s="19"/>
    </row>
    <row r="396">
      <c r="A396" s="19"/>
      <c r="B396" s="19"/>
    </row>
    <row r="397">
      <c r="A397" s="19"/>
      <c r="B397" s="19"/>
    </row>
    <row r="398">
      <c r="A398" s="19"/>
      <c r="B398" s="19"/>
    </row>
    <row r="399">
      <c r="A399" s="19"/>
      <c r="B399" s="19"/>
    </row>
    <row r="400">
      <c r="A400" s="19"/>
      <c r="B400" s="19"/>
    </row>
    <row r="401">
      <c r="A401" s="19"/>
      <c r="B401" s="19"/>
    </row>
    <row r="402">
      <c r="A402" s="19"/>
      <c r="B402" s="19"/>
    </row>
    <row r="403">
      <c r="A403" s="19"/>
      <c r="B403" s="19"/>
    </row>
    <row r="404">
      <c r="A404" s="19"/>
      <c r="B404" s="19"/>
    </row>
    <row r="405">
      <c r="A405" s="19"/>
      <c r="B405" s="19"/>
    </row>
    <row r="406">
      <c r="A406" s="19"/>
      <c r="B406" s="19"/>
    </row>
    <row r="407">
      <c r="A407" s="19"/>
      <c r="B407" s="19"/>
    </row>
    <row r="408">
      <c r="A408" s="19"/>
      <c r="B408" s="19"/>
    </row>
    <row r="409">
      <c r="A409" s="19"/>
      <c r="B409" s="19"/>
    </row>
    <row r="410">
      <c r="A410" s="19"/>
      <c r="B410" s="19"/>
    </row>
    <row r="411">
      <c r="A411" s="19"/>
      <c r="B411" s="19"/>
    </row>
    <row r="412">
      <c r="A412" s="19"/>
      <c r="B412" s="19"/>
    </row>
    <row r="413">
      <c r="A413" s="19"/>
      <c r="B413" s="19"/>
    </row>
    <row r="414">
      <c r="A414" s="19"/>
      <c r="B414" s="19"/>
    </row>
    <row r="415">
      <c r="A415" s="19"/>
      <c r="B415" s="19"/>
    </row>
    <row r="416">
      <c r="A416" s="19"/>
      <c r="B416" s="19"/>
    </row>
    <row r="417">
      <c r="A417" s="19"/>
      <c r="B417" s="19"/>
    </row>
    <row r="418">
      <c r="A418" s="19"/>
      <c r="B418" s="19"/>
    </row>
    <row r="419">
      <c r="A419" s="19"/>
      <c r="B419" s="19"/>
    </row>
    <row r="420">
      <c r="A420" s="19"/>
      <c r="B420" s="19"/>
    </row>
    <row r="421">
      <c r="A421" s="19"/>
      <c r="B421" s="19"/>
    </row>
    <row r="422">
      <c r="A422" s="19"/>
      <c r="B422" s="19"/>
    </row>
    <row r="423">
      <c r="A423" s="19"/>
      <c r="B423" s="19"/>
    </row>
    <row r="424">
      <c r="A424" s="19"/>
      <c r="B424" s="19"/>
    </row>
    <row r="425">
      <c r="A425" s="19"/>
      <c r="B425" s="19"/>
    </row>
    <row r="426">
      <c r="A426" s="19"/>
      <c r="B426" s="19"/>
    </row>
    <row r="427">
      <c r="A427" s="19"/>
      <c r="B427" s="19"/>
    </row>
    <row r="428">
      <c r="A428" s="19"/>
      <c r="B428" s="19"/>
    </row>
    <row r="429">
      <c r="A429" s="19"/>
      <c r="B429" s="19"/>
    </row>
    <row r="430">
      <c r="A430" s="19"/>
      <c r="B430" s="19"/>
    </row>
    <row r="431">
      <c r="A431" s="19"/>
      <c r="B431" s="19"/>
    </row>
    <row r="432">
      <c r="A432" s="19"/>
      <c r="B432" s="19"/>
    </row>
    <row r="433">
      <c r="A433" s="19"/>
      <c r="B433" s="19"/>
    </row>
    <row r="434">
      <c r="A434" s="19"/>
      <c r="B434" s="19"/>
    </row>
    <row r="435">
      <c r="A435" s="19"/>
      <c r="B435" s="19"/>
    </row>
    <row r="436">
      <c r="A436" s="19"/>
      <c r="B436" s="19"/>
    </row>
    <row r="437">
      <c r="A437" s="19"/>
      <c r="B437" s="19"/>
    </row>
    <row r="438">
      <c r="A438" s="19"/>
      <c r="B438" s="19"/>
    </row>
    <row r="439">
      <c r="A439" s="19"/>
      <c r="B439" s="19"/>
    </row>
    <row r="440">
      <c r="A440" s="19"/>
      <c r="B440" s="19"/>
    </row>
    <row r="441">
      <c r="A441" s="19"/>
      <c r="B441" s="19"/>
    </row>
    <row r="442">
      <c r="A442" s="19"/>
      <c r="B442" s="19"/>
    </row>
    <row r="443">
      <c r="A443" s="19"/>
      <c r="B443" s="19"/>
    </row>
    <row r="444">
      <c r="A444" s="19"/>
      <c r="B444" s="19"/>
    </row>
    <row r="445">
      <c r="A445" s="19"/>
      <c r="B445" s="19"/>
    </row>
    <row r="446">
      <c r="A446" s="19"/>
      <c r="B446" s="19"/>
    </row>
    <row r="447">
      <c r="A447" s="19"/>
      <c r="B447" s="19"/>
    </row>
    <row r="448">
      <c r="A448" s="19"/>
      <c r="B448" s="19"/>
    </row>
    <row r="449">
      <c r="A449" s="19"/>
      <c r="B449" s="19"/>
    </row>
    <row r="450">
      <c r="A450" s="19"/>
      <c r="B450" s="19"/>
    </row>
    <row r="451">
      <c r="A451" s="19"/>
      <c r="B451" s="19"/>
    </row>
    <row r="452">
      <c r="A452" s="19"/>
      <c r="B452" s="19"/>
    </row>
    <row r="453">
      <c r="A453" s="19"/>
      <c r="B453" s="19"/>
    </row>
    <row r="454">
      <c r="A454" s="19"/>
      <c r="B454" s="19"/>
    </row>
    <row r="455">
      <c r="A455" s="19"/>
      <c r="B455" s="19"/>
    </row>
    <row r="456">
      <c r="A456" s="19"/>
      <c r="B456" s="19"/>
    </row>
    <row r="457">
      <c r="A457" s="19"/>
      <c r="B457" s="19"/>
    </row>
    <row r="458">
      <c r="A458" s="19"/>
      <c r="B458" s="19"/>
    </row>
    <row r="459">
      <c r="A459" s="19"/>
      <c r="B459" s="19"/>
    </row>
    <row r="460">
      <c r="A460" s="19"/>
      <c r="B460" s="19"/>
    </row>
    <row r="461">
      <c r="A461" s="19"/>
      <c r="B461" s="19"/>
    </row>
    <row r="462">
      <c r="A462" s="19"/>
      <c r="B462" s="19"/>
    </row>
    <row r="463">
      <c r="A463" s="19"/>
      <c r="B463" s="19"/>
    </row>
    <row r="464">
      <c r="A464" s="19"/>
      <c r="B464" s="19"/>
    </row>
    <row r="465">
      <c r="A465" s="19"/>
      <c r="B465" s="19"/>
    </row>
    <row r="466">
      <c r="A466" s="19"/>
      <c r="B466" s="19"/>
    </row>
    <row r="467">
      <c r="A467" s="19"/>
      <c r="B467" s="19"/>
    </row>
    <row r="468">
      <c r="A468" s="19"/>
      <c r="B468" s="19"/>
    </row>
    <row r="469">
      <c r="A469" s="19"/>
      <c r="B469" s="19"/>
    </row>
    <row r="470">
      <c r="A470" s="19"/>
      <c r="B470" s="19"/>
    </row>
    <row r="471">
      <c r="A471" s="19"/>
      <c r="B471" s="19"/>
    </row>
    <row r="472">
      <c r="A472" s="19"/>
      <c r="B472" s="19"/>
    </row>
    <row r="473">
      <c r="A473" s="19"/>
      <c r="B473" s="19"/>
    </row>
    <row r="474">
      <c r="A474" s="19"/>
      <c r="B474" s="19"/>
    </row>
    <row r="475">
      <c r="A475" s="19"/>
      <c r="B475" s="19"/>
    </row>
    <row r="476">
      <c r="A476" s="19"/>
      <c r="B476" s="19"/>
    </row>
    <row r="477">
      <c r="A477" s="19"/>
      <c r="B477" s="19"/>
    </row>
    <row r="478">
      <c r="A478" s="19"/>
      <c r="B478" s="19"/>
    </row>
    <row r="479">
      <c r="A479" s="19"/>
      <c r="B479" s="19"/>
    </row>
    <row r="480">
      <c r="A480" s="19"/>
      <c r="B480" s="19"/>
    </row>
    <row r="481">
      <c r="A481" s="19"/>
      <c r="B481" s="19"/>
    </row>
    <row r="482">
      <c r="A482" s="19"/>
      <c r="B482" s="19"/>
    </row>
    <row r="483">
      <c r="A483" s="19"/>
      <c r="B483" s="19"/>
    </row>
    <row r="484">
      <c r="A484" s="19"/>
      <c r="B484" s="19"/>
    </row>
    <row r="485">
      <c r="A485" s="19"/>
      <c r="B485" s="19"/>
    </row>
    <row r="486">
      <c r="A486" s="19"/>
      <c r="B486" s="19"/>
    </row>
    <row r="487">
      <c r="A487" s="19"/>
      <c r="B487" s="19"/>
    </row>
    <row r="488">
      <c r="A488" s="19"/>
      <c r="B488" s="19"/>
    </row>
    <row r="489">
      <c r="A489" s="19"/>
      <c r="B489" s="19"/>
    </row>
    <row r="490">
      <c r="A490" s="19"/>
      <c r="B490" s="19"/>
    </row>
    <row r="491">
      <c r="A491" s="19"/>
      <c r="B491" s="19"/>
    </row>
    <row r="492">
      <c r="A492" s="19"/>
      <c r="B492" s="19"/>
    </row>
    <row r="493">
      <c r="A493" s="19"/>
      <c r="B493" s="19"/>
    </row>
    <row r="494">
      <c r="A494" s="19"/>
      <c r="B494" s="19"/>
    </row>
    <row r="495">
      <c r="A495" s="19"/>
      <c r="B495" s="19"/>
    </row>
    <row r="496">
      <c r="A496" s="19"/>
      <c r="B496" s="19"/>
    </row>
    <row r="497">
      <c r="A497" s="19"/>
      <c r="B497" s="19"/>
    </row>
    <row r="498">
      <c r="A498" s="19"/>
      <c r="B498" s="19"/>
    </row>
    <row r="499">
      <c r="A499" s="19"/>
      <c r="B499" s="19"/>
    </row>
    <row r="500">
      <c r="A500" s="19"/>
      <c r="B500" s="19"/>
    </row>
    <row r="501">
      <c r="A501" s="19"/>
      <c r="B501" s="19"/>
    </row>
    <row r="502">
      <c r="A502" s="19"/>
      <c r="B502" s="19"/>
    </row>
    <row r="503">
      <c r="A503" s="19"/>
      <c r="B503" s="19"/>
    </row>
    <row r="504">
      <c r="A504" s="19"/>
      <c r="B504" s="19"/>
    </row>
    <row r="505">
      <c r="A505" s="19"/>
      <c r="B505" s="19"/>
    </row>
    <row r="506">
      <c r="A506" s="19"/>
      <c r="B506" s="19"/>
    </row>
    <row r="507">
      <c r="A507" s="19"/>
      <c r="B507" s="19"/>
    </row>
    <row r="508">
      <c r="A508" s="19"/>
      <c r="B508" s="19"/>
    </row>
    <row r="509">
      <c r="A509" s="19"/>
      <c r="B509" s="19"/>
    </row>
    <row r="510">
      <c r="A510" s="19"/>
      <c r="B510" s="19"/>
    </row>
    <row r="511">
      <c r="A511" s="19"/>
      <c r="B511" s="19"/>
    </row>
    <row r="512">
      <c r="A512" s="19"/>
      <c r="B512" s="19"/>
    </row>
    <row r="513">
      <c r="A513" s="19"/>
      <c r="B513" s="19"/>
    </row>
    <row r="514">
      <c r="A514" s="19"/>
      <c r="B514" s="19"/>
    </row>
    <row r="515">
      <c r="A515" s="19"/>
      <c r="B515" s="19"/>
    </row>
    <row r="516">
      <c r="A516" s="19"/>
      <c r="B516" s="19"/>
    </row>
    <row r="517">
      <c r="A517" s="19"/>
      <c r="B517" s="19"/>
    </row>
    <row r="518">
      <c r="A518" s="19"/>
      <c r="B518" s="19"/>
    </row>
    <row r="519">
      <c r="A519" s="19"/>
      <c r="B519" s="19"/>
    </row>
    <row r="520">
      <c r="A520" s="19"/>
      <c r="B520" s="19"/>
    </row>
    <row r="521">
      <c r="A521" s="19"/>
      <c r="B521" s="19"/>
    </row>
    <row r="522">
      <c r="A522" s="19"/>
      <c r="B522" s="19"/>
    </row>
    <row r="523">
      <c r="A523" s="19"/>
      <c r="B523" s="19"/>
    </row>
    <row r="524">
      <c r="A524" s="19"/>
      <c r="B524" s="19"/>
    </row>
    <row r="525">
      <c r="A525" s="19"/>
      <c r="B525" s="19"/>
    </row>
    <row r="526">
      <c r="A526" s="19"/>
      <c r="B526" s="19"/>
    </row>
    <row r="527">
      <c r="A527" s="19"/>
      <c r="B527" s="19"/>
    </row>
    <row r="528">
      <c r="A528" s="19"/>
      <c r="B528" s="19"/>
    </row>
    <row r="529">
      <c r="A529" s="19"/>
      <c r="B529" s="19"/>
    </row>
    <row r="530">
      <c r="A530" s="19"/>
      <c r="B530" s="19"/>
    </row>
    <row r="531">
      <c r="A531" s="19"/>
      <c r="B531" s="19"/>
    </row>
    <row r="532">
      <c r="A532" s="19"/>
      <c r="B532" s="19"/>
    </row>
    <row r="533">
      <c r="A533" s="19"/>
      <c r="B533" s="19"/>
    </row>
    <row r="534">
      <c r="A534" s="19"/>
      <c r="B534" s="19"/>
    </row>
    <row r="535">
      <c r="A535" s="19"/>
      <c r="B535" s="19"/>
    </row>
    <row r="536">
      <c r="A536" s="19"/>
      <c r="B536" s="19"/>
    </row>
    <row r="537">
      <c r="A537" s="19"/>
      <c r="B537" s="19"/>
    </row>
    <row r="538">
      <c r="A538" s="19"/>
      <c r="B538" s="19"/>
    </row>
    <row r="539">
      <c r="A539" s="19"/>
      <c r="B539" s="19"/>
    </row>
    <row r="540">
      <c r="A540" s="19"/>
      <c r="B540" s="19"/>
    </row>
    <row r="541">
      <c r="A541" s="19"/>
      <c r="B541" s="19"/>
    </row>
    <row r="542">
      <c r="A542" s="19"/>
      <c r="B542" s="19"/>
    </row>
    <row r="543">
      <c r="A543" s="19"/>
      <c r="B543" s="19"/>
    </row>
    <row r="544">
      <c r="A544" s="19"/>
      <c r="B544" s="19"/>
    </row>
    <row r="545">
      <c r="A545" s="19"/>
      <c r="B545" s="19"/>
    </row>
    <row r="546">
      <c r="A546" s="19"/>
      <c r="B546" s="19"/>
    </row>
    <row r="547">
      <c r="A547" s="19"/>
      <c r="B547" s="19"/>
    </row>
    <row r="548">
      <c r="A548" s="19"/>
      <c r="B548" s="19"/>
    </row>
    <row r="549">
      <c r="A549" s="19"/>
      <c r="B549" s="19"/>
    </row>
    <row r="550">
      <c r="A550" s="19"/>
      <c r="B550" s="19"/>
    </row>
    <row r="551">
      <c r="A551" s="19"/>
      <c r="B551" s="19"/>
    </row>
    <row r="552">
      <c r="A552" s="19"/>
      <c r="B552" s="19"/>
    </row>
    <row r="553">
      <c r="A553" s="19"/>
      <c r="B553" s="19"/>
    </row>
    <row r="554">
      <c r="A554" s="19"/>
      <c r="B554" s="19"/>
    </row>
    <row r="555">
      <c r="A555" s="19"/>
      <c r="B555" s="19"/>
    </row>
    <row r="556">
      <c r="A556" s="19"/>
      <c r="B556" s="19"/>
    </row>
    <row r="557">
      <c r="A557" s="19"/>
      <c r="B557" s="19"/>
    </row>
    <row r="558">
      <c r="A558" s="19"/>
      <c r="B558" s="19"/>
    </row>
    <row r="559">
      <c r="A559" s="19"/>
      <c r="B559" s="19"/>
    </row>
    <row r="560">
      <c r="A560" s="19"/>
      <c r="B560" s="19"/>
    </row>
    <row r="561">
      <c r="A561" s="19"/>
      <c r="B561" s="19"/>
    </row>
    <row r="562">
      <c r="A562" s="19"/>
      <c r="B562" s="19"/>
    </row>
    <row r="563">
      <c r="A563" s="19"/>
      <c r="B563" s="19"/>
    </row>
    <row r="564">
      <c r="A564" s="19"/>
      <c r="B564" s="19"/>
    </row>
    <row r="565">
      <c r="A565" s="19"/>
      <c r="B565" s="19"/>
    </row>
    <row r="566">
      <c r="A566" s="19"/>
      <c r="B566" s="19"/>
    </row>
    <row r="567">
      <c r="A567" s="19"/>
      <c r="B567" s="19"/>
    </row>
    <row r="568">
      <c r="A568" s="19"/>
      <c r="B568" s="19"/>
    </row>
    <row r="569">
      <c r="A569" s="19"/>
      <c r="B569" s="19"/>
    </row>
    <row r="570">
      <c r="A570" s="19"/>
      <c r="B570" s="19"/>
    </row>
    <row r="571">
      <c r="A571" s="19"/>
      <c r="B571" s="19"/>
    </row>
    <row r="572">
      <c r="A572" s="19"/>
      <c r="B572" s="19"/>
    </row>
    <row r="573">
      <c r="A573" s="19"/>
      <c r="B573" s="19"/>
    </row>
    <row r="574">
      <c r="A574" s="19"/>
      <c r="B574" s="19"/>
    </row>
    <row r="575">
      <c r="A575" s="19"/>
      <c r="B575" s="19"/>
    </row>
    <row r="576">
      <c r="A576" s="19"/>
      <c r="B576" s="19"/>
    </row>
    <row r="577">
      <c r="A577" s="19"/>
      <c r="B577" s="19"/>
    </row>
    <row r="578">
      <c r="A578" s="19"/>
      <c r="B578" s="19"/>
    </row>
    <row r="579">
      <c r="A579" s="19"/>
      <c r="B579" s="19"/>
    </row>
    <row r="580">
      <c r="A580" s="19"/>
      <c r="B580" s="19"/>
    </row>
    <row r="581">
      <c r="A581" s="19"/>
      <c r="B581" s="19"/>
    </row>
    <row r="582">
      <c r="A582" s="19"/>
      <c r="B582" s="19"/>
    </row>
    <row r="583">
      <c r="A583" s="19"/>
      <c r="B583" s="19"/>
    </row>
    <row r="584">
      <c r="A584" s="19"/>
      <c r="B584" s="19"/>
    </row>
    <row r="585">
      <c r="A585" s="19"/>
      <c r="B585" s="19"/>
    </row>
    <row r="586">
      <c r="A586" s="19"/>
      <c r="B586" s="19"/>
    </row>
    <row r="587">
      <c r="A587" s="19"/>
      <c r="B587" s="19"/>
    </row>
    <row r="588">
      <c r="A588" s="19"/>
      <c r="B588" s="19"/>
    </row>
    <row r="589">
      <c r="A589" s="19"/>
      <c r="B589" s="19"/>
    </row>
    <row r="590">
      <c r="A590" s="19"/>
      <c r="B590" s="19"/>
    </row>
    <row r="591">
      <c r="A591" s="19"/>
      <c r="B591" s="19"/>
    </row>
    <row r="592">
      <c r="A592" s="19"/>
      <c r="B592" s="19"/>
    </row>
    <row r="593">
      <c r="A593" s="19"/>
      <c r="B593" s="19"/>
    </row>
    <row r="594">
      <c r="A594" s="19"/>
      <c r="B594" s="19"/>
    </row>
    <row r="595">
      <c r="A595" s="19"/>
      <c r="B595" s="19"/>
    </row>
    <row r="596">
      <c r="A596" s="19"/>
      <c r="B596" s="19"/>
    </row>
    <row r="597">
      <c r="A597" s="19"/>
      <c r="B597" s="19"/>
    </row>
    <row r="598">
      <c r="A598" s="19"/>
      <c r="B598" s="19"/>
    </row>
    <row r="599">
      <c r="A599" s="19"/>
      <c r="B599" s="19"/>
    </row>
    <row r="600">
      <c r="A600" s="19"/>
      <c r="B600" s="19"/>
    </row>
    <row r="601">
      <c r="A601" s="19"/>
      <c r="B601" s="19"/>
    </row>
    <row r="602">
      <c r="A602" s="19"/>
      <c r="B602" s="19"/>
    </row>
    <row r="603">
      <c r="A603" s="19"/>
      <c r="B603" s="19"/>
    </row>
    <row r="604">
      <c r="A604" s="19"/>
      <c r="B604" s="19"/>
    </row>
    <row r="605">
      <c r="A605" s="19"/>
      <c r="B605" s="19"/>
    </row>
    <row r="606">
      <c r="A606" s="19"/>
      <c r="B606" s="19"/>
    </row>
    <row r="607">
      <c r="A607" s="19"/>
      <c r="B607" s="19"/>
    </row>
    <row r="608">
      <c r="A608" s="19"/>
      <c r="B608" s="19"/>
    </row>
    <row r="609">
      <c r="A609" s="19"/>
      <c r="B609" s="19"/>
    </row>
    <row r="610">
      <c r="A610" s="19"/>
      <c r="B610" s="19"/>
    </row>
    <row r="611">
      <c r="A611" s="19"/>
      <c r="B611" s="19"/>
    </row>
    <row r="612">
      <c r="A612" s="19"/>
      <c r="B612" s="19"/>
    </row>
    <row r="613">
      <c r="A613" s="19"/>
      <c r="B613" s="19"/>
    </row>
    <row r="614">
      <c r="A614" s="19"/>
      <c r="B614" s="19"/>
    </row>
    <row r="615">
      <c r="A615" s="19"/>
      <c r="B615" s="19"/>
    </row>
    <row r="616">
      <c r="A616" s="19"/>
      <c r="B616" s="19"/>
    </row>
    <row r="617">
      <c r="A617" s="19"/>
      <c r="B617" s="19"/>
    </row>
    <row r="618">
      <c r="A618" s="19"/>
      <c r="B618" s="19"/>
    </row>
    <row r="619">
      <c r="A619" s="19"/>
      <c r="B619" s="19"/>
    </row>
    <row r="620">
      <c r="A620" s="19"/>
      <c r="B620" s="19"/>
    </row>
    <row r="621">
      <c r="A621" s="19"/>
      <c r="B621" s="19"/>
    </row>
    <row r="622">
      <c r="A622" s="19"/>
      <c r="B622" s="19"/>
    </row>
    <row r="623">
      <c r="A623" s="19"/>
      <c r="B623" s="19"/>
    </row>
    <row r="624">
      <c r="A624" s="19"/>
      <c r="B624" s="19"/>
    </row>
    <row r="625">
      <c r="A625" s="19"/>
      <c r="B625" s="19"/>
    </row>
    <row r="626">
      <c r="A626" s="19"/>
      <c r="B626" s="19"/>
    </row>
    <row r="627">
      <c r="A627" s="19"/>
      <c r="B627" s="19"/>
    </row>
    <row r="628">
      <c r="A628" s="19"/>
      <c r="B628" s="19"/>
    </row>
    <row r="629">
      <c r="A629" s="19"/>
      <c r="B629" s="19"/>
    </row>
    <row r="630">
      <c r="A630" s="19"/>
      <c r="B630" s="19"/>
    </row>
    <row r="631">
      <c r="A631" s="19"/>
      <c r="B631" s="19"/>
    </row>
    <row r="632">
      <c r="A632" s="19"/>
      <c r="B632" s="19"/>
    </row>
    <row r="633">
      <c r="A633" s="19"/>
      <c r="B633" s="19"/>
    </row>
    <row r="634">
      <c r="A634" s="19"/>
      <c r="B634" s="19"/>
    </row>
    <row r="635">
      <c r="A635" s="19"/>
      <c r="B635" s="19"/>
    </row>
    <row r="636">
      <c r="A636" s="19"/>
      <c r="B636" s="19"/>
    </row>
    <row r="637">
      <c r="A637" s="19"/>
      <c r="B637" s="19"/>
    </row>
    <row r="638">
      <c r="A638" s="19"/>
      <c r="B638" s="19"/>
    </row>
    <row r="639">
      <c r="A639" s="19"/>
      <c r="B639" s="19"/>
    </row>
    <row r="640">
      <c r="A640" s="19"/>
      <c r="B640" s="19"/>
    </row>
    <row r="641">
      <c r="A641" s="19"/>
      <c r="B641" s="19"/>
    </row>
    <row r="642">
      <c r="A642" s="19"/>
      <c r="B642" s="19"/>
    </row>
    <row r="643">
      <c r="A643" s="19"/>
      <c r="B643" s="19"/>
    </row>
    <row r="644">
      <c r="A644" s="19"/>
      <c r="B644" s="19"/>
    </row>
    <row r="645">
      <c r="A645" s="19"/>
      <c r="B645" s="19"/>
    </row>
    <row r="646">
      <c r="A646" s="19"/>
      <c r="B646" s="19"/>
    </row>
    <row r="647">
      <c r="A647" s="19"/>
      <c r="B647" s="19"/>
    </row>
    <row r="648">
      <c r="A648" s="19"/>
      <c r="B648" s="19"/>
    </row>
    <row r="649">
      <c r="A649" s="19"/>
      <c r="B649" s="19"/>
    </row>
    <row r="650">
      <c r="A650" s="19"/>
      <c r="B650" s="19"/>
    </row>
    <row r="651">
      <c r="A651" s="19"/>
      <c r="B651" s="19"/>
    </row>
    <row r="652">
      <c r="A652" s="19"/>
      <c r="B652" s="19"/>
    </row>
    <row r="653">
      <c r="A653" s="19"/>
      <c r="B653" s="19"/>
    </row>
    <row r="654">
      <c r="A654" s="19"/>
      <c r="B654" s="19"/>
    </row>
    <row r="655">
      <c r="A655" s="19"/>
      <c r="B655" s="19"/>
    </row>
    <row r="656">
      <c r="A656" s="19"/>
      <c r="B656" s="19"/>
    </row>
    <row r="657">
      <c r="A657" s="19"/>
      <c r="B657" s="19"/>
    </row>
    <row r="658">
      <c r="A658" s="19"/>
      <c r="B658" s="19"/>
    </row>
    <row r="659">
      <c r="A659" s="19"/>
      <c r="B659" s="19"/>
    </row>
    <row r="660">
      <c r="A660" s="19"/>
      <c r="B660" s="19"/>
    </row>
    <row r="661">
      <c r="A661" s="19"/>
      <c r="B661" s="19"/>
    </row>
    <row r="662">
      <c r="A662" s="19"/>
      <c r="B662" s="19"/>
    </row>
    <row r="663">
      <c r="A663" s="19"/>
      <c r="B663" s="19"/>
    </row>
    <row r="664">
      <c r="A664" s="19"/>
      <c r="B664" s="19"/>
    </row>
    <row r="665">
      <c r="A665" s="19"/>
      <c r="B665" s="19"/>
    </row>
    <row r="666">
      <c r="A666" s="19"/>
      <c r="B666" s="19"/>
    </row>
    <row r="667">
      <c r="A667" s="19"/>
      <c r="B667" s="19"/>
    </row>
    <row r="668">
      <c r="A668" s="19"/>
      <c r="B668" s="19"/>
    </row>
    <row r="669">
      <c r="A669" s="19"/>
      <c r="B669" s="19"/>
    </row>
    <row r="670">
      <c r="A670" s="19"/>
      <c r="B670" s="19"/>
    </row>
    <row r="671">
      <c r="A671" s="19"/>
      <c r="B671" s="19"/>
    </row>
    <row r="672">
      <c r="A672" s="19"/>
      <c r="B672" s="19"/>
    </row>
    <row r="673">
      <c r="A673" s="19"/>
      <c r="B673" s="19"/>
    </row>
    <row r="674">
      <c r="A674" s="19"/>
      <c r="B674" s="19"/>
    </row>
    <row r="675">
      <c r="A675" s="19"/>
      <c r="B675" s="19"/>
    </row>
    <row r="676">
      <c r="A676" s="19"/>
      <c r="B676" s="19"/>
    </row>
    <row r="677">
      <c r="A677" s="19"/>
      <c r="B677" s="19"/>
    </row>
    <row r="678">
      <c r="A678" s="19"/>
      <c r="B678" s="19"/>
    </row>
    <row r="679">
      <c r="A679" s="19"/>
      <c r="B679" s="19"/>
    </row>
    <row r="680">
      <c r="A680" s="19"/>
      <c r="B680" s="19"/>
    </row>
    <row r="681">
      <c r="A681" s="19"/>
      <c r="B681" s="19"/>
    </row>
    <row r="682">
      <c r="A682" s="19"/>
      <c r="B682" s="19"/>
    </row>
    <row r="683">
      <c r="A683" s="19"/>
      <c r="B683" s="19"/>
    </row>
    <row r="684">
      <c r="A684" s="19"/>
      <c r="B684" s="19"/>
    </row>
    <row r="685">
      <c r="A685" s="19"/>
      <c r="B685" s="19"/>
    </row>
    <row r="686">
      <c r="A686" s="19"/>
      <c r="B686" s="19"/>
    </row>
    <row r="687">
      <c r="A687" s="19"/>
      <c r="B687" s="19"/>
    </row>
    <row r="688">
      <c r="A688" s="19"/>
      <c r="B688" s="19"/>
    </row>
    <row r="689">
      <c r="A689" s="19"/>
      <c r="B689" s="19"/>
    </row>
    <row r="690">
      <c r="A690" s="19"/>
      <c r="B690" s="19"/>
    </row>
    <row r="691">
      <c r="A691" s="19"/>
      <c r="B691" s="19"/>
    </row>
    <row r="692">
      <c r="A692" s="19"/>
      <c r="B692" s="19"/>
    </row>
    <row r="693">
      <c r="A693" s="19"/>
      <c r="B693" s="19"/>
    </row>
    <row r="694">
      <c r="A694" s="19"/>
      <c r="B694" s="19"/>
    </row>
    <row r="695">
      <c r="A695" s="19"/>
      <c r="B695" s="19"/>
    </row>
    <row r="696">
      <c r="A696" s="19"/>
      <c r="B696" s="19"/>
    </row>
    <row r="697">
      <c r="A697" s="19"/>
      <c r="B697" s="19"/>
    </row>
    <row r="698">
      <c r="A698" s="19"/>
      <c r="B698" s="19"/>
    </row>
    <row r="699">
      <c r="A699" s="19"/>
      <c r="B699" s="19"/>
    </row>
    <row r="700">
      <c r="A700" s="19"/>
      <c r="B700" s="19"/>
    </row>
    <row r="701">
      <c r="A701" s="19"/>
      <c r="B701" s="19"/>
    </row>
    <row r="702">
      <c r="A702" s="19"/>
      <c r="B702" s="19"/>
    </row>
    <row r="703">
      <c r="A703" s="19"/>
      <c r="B703" s="19"/>
    </row>
    <row r="704">
      <c r="A704" s="19"/>
      <c r="B704" s="19"/>
    </row>
    <row r="705">
      <c r="A705" s="19"/>
      <c r="B705" s="19"/>
    </row>
    <row r="706">
      <c r="A706" s="19"/>
      <c r="B706" s="19"/>
    </row>
    <row r="707">
      <c r="A707" s="19"/>
      <c r="B707" s="19"/>
    </row>
    <row r="708">
      <c r="A708" s="19"/>
      <c r="B708" s="19"/>
    </row>
    <row r="709">
      <c r="A709" s="19"/>
      <c r="B709" s="19"/>
    </row>
    <row r="710">
      <c r="A710" s="19"/>
      <c r="B710" s="19"/>
    </row>
    <row r="711">
      <c r="A711" s="19"/>
      <c r="B711" s="19"/>
    </row>
    <row r="712">
      <c r="A712" s="19"/>
      <c r="B712" s="19"/>
    </row>
    <row r="713">
      <c r="A713" s="19"/>
      <c r="B713" s="19"/>
    </row>
    <row r="714">
      <c r="A714" s="19"/>
      <c r="B714" s="19"/>
    </row>
    <row r="715">
      <c r="A715" s="19"/>
      <c r="B715" s="19"/>
    </row>
    <row r="716">
      <c r="A716" s="19"/>
      <c r="B716" s="19"/>
    </row>
    <row r="717">
      <c r="A717" s="19"/>
      <c r="B717" s="19"/>
    </row>
    <row r="718">
      <c r="A718" s="19"/>
      <c r="B718" s="19"/>
    </row>
    <row r="719">
      <c r="A719" s="19"/>
      <c r="B719" s="19"/>
    </row>
    <row r="720">
      <c r="A720" s="19"/>
      <c r="B720" s="19"/>
    </row>
    <row r="721">
      <c r="A721" s="19"/>
      <c r="B721" s="19"/>
    </row>
    <row r="722">
      <c r="A722" s="19"/>
      <c r="B722" s="19"/>
    </row>
    <row r="723">
      <c r="A723" s="19"/>
      <c r="B723" s="19"/>
    </row>
    <row r="724">
      <c r="A724" s="19"/>
      <c r="B724" s="19"/>
    </row>
    <row r="725">
      <c r="A725" s="19"/>
      <c r="B725" s="19"/>
    </row>
    <row r="726">
      <c r="A726" s="19"/>
      <c r="B726" s="19"/>
    </row>
    <row r="727">
      <c r="A727" s="19"/>
      <c r="B727" s="19"/>
    </row>
    <row r="728">
      <c r="A728" s="19"/>
      <c r="B728" s="19"/>
    </row>
    <row r="729">
      <c r="A729" s="19"/>
      <c r="B729" s="19"/>
    </row>
    <row r="730">
      <c r="A730" s="19"/>
      <c r="B730" s="19"/>
    </row>
    <row r="731">
      <c r="A731" s="19"/>
      <c r="B731" s="19"/>
    </row>
    <row r="732">
      <c r="A732" s="19"/>
      <c r="B732" s="19"/>
    </row>
    <row r="733">
      <c r="A733" s="19"/>
      <c r="B733" s="19"/>
    </row>
    <row r="734">
      <c r="A734" s="19"/>
      <c r="B734" s="19"/>
    </row>
    <row r="735">
      <c r="A735" s="19"/>
      <c r="B735" s="19"/>
    </row>
    <row r="736">
      <c r="A736" s="19"/>
      <c r="B736" s="19"/>
    </row>
    <row r="737">
      <c r="A737" s="19"/>
      <c r="B737" s="19"/>
    </row>
    <row r="738">
      <c r="A738" s="19"/>
      <c r="B738" s="19"/>
    </row>
    <row r="739">
      <c r="A739" s="19"/>
      <c r="B739" s="19"/>
    </row>
    <row r="740">
      <c r="A740" s="19"/>
      <c r="B740" s="19"/>
    </row>
    <row r="741">
      <c r="A741" s="19"/>
      <c r="B741" s="19"/>
    </row>
    <row r="742">
      <c r="A742" s="19"/>
      <c r="B742" s="19"/>
    </row>
    <row r="743">
      <c r="A743" s="19"/>
      <c r="B743" s="19"/>
    </row>
    <row r="744">
      <c r="A744" s="19"/>
      <c r="B744" s="19"/>
    </row>
    <row r="745">
      <c r="A745" s="19"/>
      <c r="B745" s="19"/>
    </row>
    <row r="746">
      <c r="A746" s="19"/>
      <c r="B746" s="19"/>
    </row>
    <row r="747">
      <c r="A747" s="19"/>
      <c r="B747" s="19"/>
    </row>
    <row r="748">
      <c r="A748" s="19"/>
      <c r="B748" s="19"/>
    </row>
    <row r="749">
      <c r="A749" s="19"/>
      <c r="B749" s="19"/>
    </row>
    <row r="750">
      <c r="A750" s="19"/>
      <c r="B750" s="19"/>
    </row>
    <row r="751">
      <c r="A751" s="19"/>
      <c r="B751" s="19"/>
    </row>
    <row r="752">
      <c r="A752" s="19"/>
      <c r="B752" s="19"/>
    </row>
    <row r="753">
      <c r="A753" s="19"/>
      <c r="B753" s="19"/>
    </row>
    <row r="754">
      <c r="A754" s="19"/>
      <c r="B754" s="19"/>
    </row>
    <row r="755">
      <c r="A755" s="19"/>
      <c r="B755" s="19"/>
    </row>
    <row r="756">
      <c r="A756" s="19"/>
      <c r="B756" s="19"/>
    </row>
    <row r="757">
      <c r="A757" s="19"/>
      <c r="B757" s="19"/>
    </row>
    <row r="758">
      <c r="A758" s="19"/>
      <c r="B758" s="19"/>
    </row>
    <row r="759">
      <c r="A759" s="19"/>
      <c r="B759" s="19"/>
    </row>
    <row r="760">
      <c r="A760" s="19"/>
      <c r="B760" s="19"/>
    </row>
    <row r="761">
      <c r="A761" s="19"/>
      <c r="B761" s="19"/>
    </row>
    <row r="762">
      <c r="A762" s="19"/>
      <c r="B762" s="19"/>
    </row>
    <row r="763">
      <c r="A763" s="19"/>
      <c r="B763" s="19"/>
    </row>
    <row r="764">
      <c r="A764" s="19"/>
      <c r="B764" s="19"/>
    </row>
    <row r="765">
      <c r="A765" s="19"/>
      <c r="B765" s="19"/>
    </row>
    <row r="766">
      <c r="A766" s="19"/>
      <c r="B766" s="19"/>
    </row>
    <row r="767">
      <c r="A767" s="19"/>
      <c r="B767" s="19"/>
    </row>
    <row r="768">
      <c r="A768" s="19"/>
      <c r="B768" s="19"/>
    </row>
    <row r="769">
      <c r="A769" s="19"/>
      <c r="B769" s="19"/>
    </row>
    <row r="770">
      <c r="A770" s="19"/>
      <c r="B770" s="19"/>
    </row>
    <row r="771">
      <c r="A771" s="19"/>
      <c r="B771" s="19"/>
    </row>
    <row r="772">
      <c r="A772" s="19"/>
      <c r="B772" s="19"/>
    </row>
    <row r="773">
      <c r="A773" s="19"/>
      <c r="B773" s="19"/>
    </row>
    <row r="774">
      <c r="A774" s="19"/>
      <c r="B774" s="19"/>
    </row>
    <row r="775">
      <c r="A775" s="19"/>
      <c r="B775" s="19"/>
    </row>
    <row r="776">
      <c r="A776" s="19"/>
      <c r="B776" s="19"/>
    </row>
    <row r="777">
      <c r="A777" s="19"/>
      <c r="B777" s="19"/>
    </row>
    <row r="778">
      <c r="A778" s="19"/>
      <c r="B778" s="19"/>
    </row>
    <row r="779">
      <c r="A779" s="19"/>
      <c r="B779" s="19"/>
    </row>
    <row r="780">
      <c r="A780" s="19"/>
      <c r="B780" s="19"/>
    </row>
    <row r="781">
      <c r="A781" s="19"/>
      <c r="B781" s="19"/>
    </row>
    <row r="782">
      <c r="A782" s="19"/>
      <c r="B782" s="19"/>
    </row>
    <row r="783">
      <c r="A783" s="19"/>
      <c r="B783" s="19"/>
    </row>
    <row r="784">
      <c r="A784" s="19"/>
      <c r="B784" s="19"/>
    </row>
    <row r="785">
      <c r="A785" s="19"/>
      <c r="B785" s="19"/>
    </row>
    <row r="786">
      <c r="A786" s="19"/>
      <c r="B786" s="19"/>
    </row>
    <row r="787">
      <c r="A787" s="19"/>
      <c r="B787" s="19"/>
    </row>
    <row r="788">
      <c r="A788" s="19"/>
      <c r="B788" s="19"/>
    </row>
    <row r="789">
      <c r="A789" s="19"/>
      <c r="B789" s="19"/>
    </row>
    <row r="790">
      <c r="A790" s="19"/>
      <c r="B790" s="19"/>
    </row>
    <row r="791">
      <c r="A791" s="19"/>
      <c r="B791" s="19"/>
    </row>
    <row r="792">
      <c r="A792" s="19"/>
      <c r="B792" s="19"/>
    </row>
    <row r="793">
      <c r="A793" s="19"/>
      <c r="B793" s="19"/>
    </row>
    <row r="794">
      <c r="A794" s="19"/>
      <c r="B794" s="19"/>
    </row>
    <row r="795">
      <c r="A795" s="19"/>
      <c r="B795" s="19"/>
    </row>
    <row r="796">
      <c r="A796" s="19"/>
      <c r="B796" s="19"/>
    </row>
    <row r="797">
      <c r="A797" s="19"/>
      <c r="B797" s="19"/>
    </row>
    <row r="798">
      <c r="A798" s="19"/>
      <c r="B798" s="19"/>
    </row>
    <row r="799">
      <c r="A799" s="19"/>
      <c r="B799" s="19"/>
    </row>
    <row r="800">
      <c r="A800" s="19"/>
      <c r="B800" s="19"/>
    </row>
    <row r="801">
      <c r="A801" s="19"/>
      <c r="B801" s="19"/>
    </row>
    <row r="802">
      <c r="A802" s="19"/>
      <c r="B802" s="19"/>
    </row>
    <row r="803">
      <c r="A803" s="19"/>
      <c r="B803" s="19"/>
    </row>
    <row r="804">
      <c r="A804" s="19"/>
      <c r="B804" s="19"/>
    </row>
    <row r="805">
      <c r="A805" s="19"/>
      <c r="B805" s="19"/>
    </row>
    <row r="806">
      <c r="A806" s="19"/>
      <c r="B806" s="19"/>
    </row>
    <row r="807">
      <c r="A807" s="19"/>
      <c r="B807" s="19"/>
    </row>
    <row r="808">
      <c r="A808" s="19"/>
      <c r="B808" s="19"/>
    </row>
    <row r="809">
      <c r="A809" s="19"/>
      <c r="B809" s="19"/>
    </row>
    <row r="810">
      <c r="A810" s="19"/>
      <c r="B810" s="19"/>
    </row>
    <row r="811">
      <c r="A811" s="19"/>
      <c r="B811" s="19"/>
    </row>
    <row r="812">
      <c r="A812" s="19"/>
      <c r="B812" s="19"/>
    </row>
    <row r="813">
      <c r="A813" s="19"/>
      <c r="B813" s="19"/>
    </row>
    <row r="814">
      <c r="A814" s="19"/>
      <c r="B814" s="19"/>
    </row>
    <row r="815">
      <c r="A815" s="19"/>
      <c r="B815" s="19"/>
    </row>
    <row r="816">
      <c r="A816" s="19"/>
      <c r="B816" s="19"/>
    </row>
    <row r="817">
      <c r="A817" s="19"/>
      <c r="B817" s="19"/>
    </row>
    <row r="818">
      <c r="A818" s="19"/>
      <c r="B818" s="19"/>
    </row>
    <row r="819">
      <c r="A819" s="19"/>
      <c r="B819" s="19"/>
    </row>
    <row r="820">
      <c r="A820" s="19"/>
      <c r="B820" s="19"/>
    </row>
    <row r="821">
      <c r="A821" s="19"/>
      <c r="B821" s="19"/>
    </row>
    <row r="822">
      <c r="A822" s="19"/>
      <c r="B822" s="19"/>
    </row>
    <row r="823">
      <c r="A823" s="19"/>
      <c r="B823" s="19"/>
    </row>
    <row r="824">
      <c r="A824" s="19"/>
      <c r="B824" s="19"/>
    </row>
    <row r="825">
      <c r="A825" s="19"/>
      <c r="B825" s="19"/>
    </row>
    <row r="826">
      <c r="A826" s="19"/>
      <c r="B826" s="19"/>
    </row>
    <row r="827">
      <c r="A827" s="19"/>
      <c r="B827" s="19"/>
    </row>
    <row r="828">
      <c r="A828" s="19"/>
      <c r="B828" s="19"/>
    </row>
    <row r="829">
      <c r="A829" s="19"/>
      <c r="B829" s="19"/>
    </row>
    <row r="830">
      <c r="A830" s="19"/>
      <c r="B830" s="19"/>
    </row>
    <row r="831">
      <c r="A831" s="19"/>
      <c r="B831" s="19"/>
    </row>
    <row r="832">
      <c r="A832" s="19"/>
      <c r="B832" s="19"/>
    </row>
    <row r="833">
      <c r="A833" s="19"/>
      <c r="B833" s="19"/>
    </row>
    <row r="834">
      <c r="A834" s="19"/>
      <c r="B834" s="19"/>
    </row>
    <row r="835">
      <c r="A835" s="19"/>
      <c r="B835" s="19"/>
    </row>
    <row r="836">
      <c r="A836" s="19"/>
      <c r="B836" s="19"/>
    </row>
    <row r="837">
      <c r="A837" s="19"/>
      <c r="B837" s="19"/>
    </row>
    <row r="838">
      <c r="A838" s="19"/>
      <c r="B838" s="19"/>
    </row>
    <row r="839">
      <c r="A839" s="19"/>
      <c r="B839" s="19"/>
    </row>
    <row r="840">
      <c r="A840" s="19"/>
      <c r="B840" s="19"/>
    </row>
    <row r="841">
      <c r="A841" s="19"/>
      <c r="B841" s="19"/>
    </row>
    <row r="842">
      <c r="A842" s="19"/>
      <c r="B842" s="19"/>
    </row>
    <row r="843">
      <c r="A843" s="19"/>
      <c r="B843" s="19"/>
    </row>
    <row r="844">
      <c r="A844" s="19"/>
      <c r="B844" s="19"/>
    </row>
    <row r="845">
      <c r="A845" s="19"/>
      <c r="B845" s="19"/>
    </row>
    <row r="846">
      <c r="A846" s="19"/>
      <c r="B846" s="19"/>
    </row>
    <row r="847">
      <c r="A847" s="19"/>
      <c r="B847" s="19"/>
    </row>
    <row r="848">
      <c r="A848" s="19"/>
      <c r="B848" s="19"/>
    </row>
    <row r="849">
      <c r="A849" s="19"/>
      <c r="B849" s="19"/>
    </row>
    <row r="850">
      <c r="A850" s="19"/>
      <c r="B850" s="19"/>
    </row>
    <row r="851">
      <c r="A851" s="19"/>
      <c r="B851" s="19"/>
    </row>
    <row r="852">
      <c r="A852" s="19"/>
      <c r="B852" s="19"/>
    </row>
    <row r="853">
      <c r="A853" s="19"/>
      <c r="B853" s="19"/>
    </row>
    <row r="854">
      <c r="A854" s="19"/>
      <c r="B854" s="19"/>
    </row>
    <row r="855">
      <c r="A855" s="19"/>
      <c r="B855" s="19"/>
    </row>
    <row r="856">
      <c r="A856" s="19"/>
      <c r="B856" s="19"/>
    </row>
    <row r="857">
      <c r="A857" s="19"/>
      <c r="B857" s="19"/>
    </row>
    <row r="858">
      <c r="A858" s="19"/>
      <c r="B858" s="19"/>
    </row>
    <row r="859">
      <c r="A859" s="19"/>
      <c r="B859" s="19"/>
    </row>
    <row r="860">
      <c r="A860" s="19"/>
      <c r="B860" s="19"/>
    </row>
    <row r="861">
      <c r="A861" s="19"/>
      <c r="B861" s="19"/>
    </row>
    <row r="862">
      <c r="A862" s="19"/>
      <c r="B862" s="19"/>
    </row>
    <row r="863">
      <c r="A863" s="19"/>
      <c r="B863" s="19"/>
    </row>
    <row r="864">
      <c r="A864" s="19"/>
      <c r="B864" s="19"/>
    </row>
    <row r="865">
      <c r="A865" s="19"/>
      <c r="B865" s="19"/>
    </row>
    <row r="866">
      <c r="A866" s="19"/>
      <c r="B866" s="19"/>
    </row>
    <row r="867">
      <c r="A867" s="19"/>
      <c r="B867" s="19"/>
    </row>
    <row r="868">
      <c r="A868" s="19"/>
      <c r="B868" s="19"/>
    </row>
    <row r="869">
      <c r="A869" s="19"/>
      <c r="B869" s="19"/>
    </row>
    <row r="870">
      <c r="A870" s="19"/>
      <c r="B870" s="19"/>
    </row>
    <row r="871">
      <c r="A871" s="19"/>
      <c r="B871" s="19"/>
    </row>
    <row r="872">
      <c r="A872" s="19"/>
      <c r="B872" s="19"/>
    </row>
    <row r="873">
      <c r="A873" s="19"/>
      <c r="B873" s="19"/>
    </row>
    <row r="874">
      <c r="A874" s="19"/>
      <c r="B874" s="19"/>
    </row>
    <row r="875">
      <c r="A875" s="19"/>
      <c r="B875" s="19"/>
    </row>
    <row r="876">
      <c r="A876" s="19"/>
      <c r="B876" s="19"/>
    </row>
    <row r="877">
      <c r="A877" s="19"/>
      <c r="B877" s="19"/>
    </row>
    <row r="878">
      <c r="A878" s="19"/>
      <c r="B878" s="19"/>
    </row>
    <row r="879">
      <c r="A879" s="19"/>
      <c r="B879" s="19"/>
    </row>
    <row r="880">
      <c r="A880" s="19"/>
      <c r="B880" s="19"/>
    </row>
    <row r="881">
      <c r="A881" s="19"/>
      <c r="B881" s="19"/>
    </row>
    <row r="882">
      <c r="A882" s="19"/>
      <c r="B882" s="19"/>
    </row>
    <row r="883">
      <c r="A883" s="19"/>
      <c r="B883" s="19"/>
    </row>
    <row r="884">
      <c r="A884" s="19"/>
      <c r="B884" s="19"/>
    </row>
    <row r="885">
      <c r="A885" s="19"/>
      <c r="B885" s="19"/>
    </row>
    <row r="886">
      <c r="A886" s="19"/>
      <c r="B886" s="19"/>
    </row>
    <row r="887">
      <c r="A887" s="19"/>
      <c r="B887" s="19"/>
    </row>
    <row r="888">
      <c r="A888" s="19"/>
      <c r="B888" s="19"/>
    </row>
    <row r="889">
      <c r="A889" s="19"/>
      <c r="B889" s="19"/>
    </row>
    <row r="890">
      <c r="A890" s="19"/>
      <c r="B890" s="19"/>
    </row>
    <row r="891">
      <c r="A891" s="19"/>
      <c r="B891" s="19"/>
    </row>
    <row r="892">
      <c r="A892" s="19"/>
      <c r="B892" s="19"/>
    </row>
    <row r="893">
      <c r="A893" s="19"/>
      <c r="B893" s="19"/>
    </row>
    <row r="894">
      <c r="A894" s="19"/>
      <c r="B894" s="19"/>
    </row>
    <row r="895">
      <c r="A895" s="19"/>
      <c r="B895" s="19"/>
    </row>
    <row r="896">
      <c r="A896" s="19"/>
      <c r="B896" s="19"/>
    </row>
    <row r="897">
      <c r="A897" s="19"/>
      <c r="B897" s="19"/>
    </row>
    <row r="898">
      <c r="A898" s="19"/>
      <c r="B898" s="19"/>
    </row>
    <row r="899">
      <c r="A899" s="19"/>
      <c r="B899" s="19"/>
    </row>
    <row r="900">
      <c r="A900" s="19"/>
      <c r="B900" s="19"/>
    </row>
    <row r="901">
      <c r="A901" s="19"/>
      <c r="B901" s="19"/>
    </row>
    <row r="902">
      <c r="A902" s="19"/>
      <c r="B902" s="19"/>
    </row>
    <row r="903">
      <c r="A903" s="19"/>
      <c r="B903" s="19"/>
    </row>
    <row r="904">
      <c r="A904" s="19"/>
      <c r="B904" s="19"/>
    </row>
    <row r="905">
      <c r="A905" s="19"/>
      <c r="B905" s="19"/>
    </row>
    <row r="906">
      <c r="A906" s="19"/>
      <c r="B906" s="19"/>
    </row>
    <row r="907">
      <c r="A907" s="19"/>
      <c r="B907" s="19"/>
    </row>
    <row r="908">
      <c r="A908" s="19"/>
      <c r="B908" s="19"/>
    </row>
    <row r="909">
      <c r="A909" s="19"/>
      <c r="B909" s="19"/>
    </row>
    <row r="910">
      <c r="A910" s="19"/>
      <c r="B910" s="19"/>
    </row>
    <row r="911">
      <c r="A911" s="19"/>
      <c r="B911" s="19"/>
    </row>
    <row r="912">
      <c r="A912" s="19"/>
      <c r="B912" s="19"/>
    </row>
    <row r="913">
      <c r="A913" s="19"/>
      <c r="B913" s="19"/>
    </row>
    <row r="914">
      <c r="A914" s="19"/>
      <c r="B914" s="19"/>
    </row>
    <row r="915">
      <c r="A915" s="19"/>
      <c r="B915" s="19"/>
    </row>
    <row r="916">
      <c r="A916" s="19"/>
      <c r="B916" s="19"/>
    </row>
    <row r="917">
      <c r="A917" s="19"/>
      <c r="B917" s="19"/>
    </row>
    <row r="918">
      <c r="A918" s="19"/>
      <c r="B918" s="19"/>
    </row>
    <row r="919">
      <c r="A919" s="19"/>
      <c r="B919" s="19"/>
    </row>
    <row r="920">
      <c r="A920" s="19"/>
      <c r="B920" s="19"/>
    </row>
    <row r="921">
      <c r="A921" s="19"/>
      <c r="B921" s="19"/>
    </row>
    <row r="922">
      <c r="A922" s="19"/>
      <c r="B922" s="19"/>
    </row>
    <row r="923">
      <c r="A923" s="19"/>
      <c r="B923" s="19"/>
    </row>
    <row r="924">
      <c r="A924" s="19"/>
      <c r="B924" s="19"/>
    </row>
    <row r="925">
      <c r="A925" s="19"/>
      <c r="B925" s="19"/>
    </row>
    <row r="926">
      <c r="A926" s="19"/>
      <c r="B926" s="19"/>
    </row>
    <row r="927">
      <c r="A927" s="19"/>
      <c r="B927" s="19"/>
    </row>
    <row r="928">
      <c r="A928" s="19"/>
      <c r="B928" s="19"/>
    </row>
    <row r="929">
      <c r="A929" s="19"/>
      <c r="B929" s="19"/>
    </row>
    <row r="930">
      <c r="A930" s="19"/>
      <c r="B930" s="19"/>
    </row>
    <row r="931">
      <c r="A931" s="19"/>
      <c r="B931" s="19"/>
    </row>
    <row r="932">
      <c r="A932" s="19"/>
      <c r="B932" s="19"/>
    </row>
    <row r="933">
      <c r="A933" s="19"/>
      <c r="B933" s="19"/>
    </row>
    <row r="934">
      <c r="A934" s="19"/>
      <c r="B934" s="19"/>
    </row>
    <row r="935">
      <c r="A935" s="19"/>
      <c r="B935" s="19"/>
    </row>
    <row r="936">
      <c r="A936" s="19"/>
      <c r="B936" s="19"/>
    </row>
    <row r="937">
      <c r="A937" s="19"/>
      <c r="B937" s="19"/>
    </row>
    <row r="938">
      <c r="A938" s="19"/>
      <c r="B938" s="19"/>
    </row>
    <row r="939">
      <c r="A939" s="19"/>
      <c r="B939" s="19"/>
    </row>
    <row r="940">
      <c r="A940" s="19"/>
      <c r="B940" s="19"/>
    </row>
    <row r="941">
      <c r="A941" s="19"/>
      <c r="B941" s="19"/>
    </row>
    <row r="942">
      <c r="A942" s="19"/>
      <c r="B942" s="19"/>
    </row>
    <row r="943">
      <c r="A943" s="19"/>
      <c r="B943" s="19"/>
    </row>
    <row r="944">
      <c r="A944" s="19"/>
      <c r="B944" s="19"/>
    </row>
    <row r="945">
      <c r="A945" s="19"/>
      <c r="B945" s="19"/>
    </row>
    <row r="946">
      <c r="A946" s="19"/>
      <c r="B946" s="19"/>
    </row>
    <row r="947">
      <c r="A947" s="19"/>
      <c r="B947" s="19"/>
    </row>
    <row r="948">
      <c r="A948" s="19"/>
      <c r="B948" s="19"/>
    </row>
    <row r="949">
      <c r="A949" s="19"/>
      <c r="B949" s="19"/>
    </row>
    <row r="950">
      <c r="A950" s="19"/>
      <c r="B950" s="19"/>
    </row>
    <row r="951">
      <c r="A951" s="19"/>
      <c r="B951" s="19"/>
    </row>
    <row r="952">
      <c r="A952" s="19"/>
      <c r="B952" s="19"/>
    </row>
    <row r="953">
      <c r="A953" s="19"/>
      <c r="B953" s="19"/>
    </row>
    <row r="954">
      <c r="A954" s="19"/>
      <c r="B954" s="19"/>
    </row>
    <row r="955">
      <c r="A955" s="19"/>
      <c r="B955" s="19"/>
    </row>
    <row r="956">
      <c r="A956" s="19"/>
      <c r="B956" s="19"/>
    </row>
    <row r="957">
      <c r="A957" s="19"/>
      <c r="B957" s="19"/>
    </row>
    <row r="958">
      <c r="A958" s="19"/>
      <c r="B958" s="19"/>
    </row>
    <row r="959">
      <c r="A959" s="19"/>
      <c r="B959" s="19"/>
    </row>
    <row r="960">
      <c r="A960" s="19"/>
      <c r="B960" s="19"/>
    </row>
    <row r="961">
      <c r="A961" s="19"/>
      <c r="B961" s="19"/>
    </row>
    <row r="962">
      <c r="A962" s="19"/>
      <c r="B962" s="19"/>
    </row>
    <row r="963">
      <c r="A963" s="19"/>
      <c r="B963" s="19"/>
    </row>
    <row r="964">
      <c r="A964" s="19"/>
      <c r="B964" s="19"/>
    </row>
    <row r="965">
      <c r="A965" s="19"/>
      <c r="B965" s="19"/>
    </row>
    <row r="966">
      <c r="A966" s="19"/>
      <c r="B966" s="19"/>
    </row>
    <row r="967">
      <c r="A967" s="19"/>
      <c r="B967" s="19"/>
    </row>
    <row r="968">
      <c r="A968" s="19"/>
      <c r="B968" s="19"/>
    </row>
    <row r="969">
      <c r="A969" s="19"/>
      <c r="B969" s="19"/>
    </row>
    <row r="970">
      <c r="A970" s="19"/>
      <c r="B970" s="19"/>
    </row>
    <row r="971">
      <c r="A971" s="19"/>
      <c r="B971" s="19"/>
    </row>
    <row r="972">
      <c r="A972" s="19"/>
      <c r="B972" s="19"/>
    </row>
    <row r="973">
      <c r="A973" s="19"/>
      <c r="B973" s="19"/>
    </row>
    <row r="974">
      <c r="A974" s="19"/>
      <c r="B974" s="19"/>
    </row>
    <row r="975">
      <c r="A975" s="19"/>
      <c r="B975" s="19"/>
    </row>
    <row r="976">
      <c r="A976" s="19"/>
      <c r="B976" s="19"/>
    </row>
    <row r="977">
      <c r="A977" s="19"/>
      <c r="B977" s="19"/>
    </row>
    <row r="978">
      <c r="A978" s="19"/>
      <c r="B978" s="19"/>
    </row>
    <row r="979">
      <c r="A979" s="19"/>
      <c r="B979" s="19"/>
    </row>
    <row r="980">
      <c r="A980" s="19"/>
      <c r="B980" s="19"/>
    </row>
    <row r="981">
      <c r="A981" s="19"/>
      <c r="B981" s="19"/>
    </row>
    <row r="982">
      <c r="A982" s="19"/>
      <c r="B982" s="19"/>
    </row>
    <row r="983">
      <c r="A983" s="19"/>
      <c r="B983" s="19"/>
    </row>
    <row r="984">
      <c r="A984" s="19"/>
      <c r="B984" s="19"/>
    </row>
    <row r="985">
      <c r="A985" s="19"/>
      <c r="B985" s="19"/>
    </row>
    <row r="986">
      <c r="A986" s="19"/>
      <c r="B986" s="19"/>
    </row>
    <row r="987">
      <c r="A987" s="19"/>
      <c r="B987" s="19"/>
    </row>
    <row r="988">
      <c r="A988" s="19"/>
      <c r="B988" s="19"/>
    </row>
    <row r="989">
      <c r="A989" s="19"/>
      <c r="B989" s="19"/>
    </row>
    <row r="990">
      <c r="A990" s="19"/>
      <c r="B990" s="19"/>
    </row>
    <row r="991">
      <c r="A991" s="19"/>
      <c r="B991" s="19"/>
    </row>
    <row r="992">
      <c r="A992" s="19"/>
      <c r="B992" s="19"/>
    </row>
    <row r="993">
      <c r="A993" s="19"/>
      <c r="B993" s="19"/>
    </row>
    <row r="994">
      <c r="A994" s="19"/>
      <c r="B994" s="19"/>
    </row>
  </sheetData>
  <mergeCells count="14">
    <mergeCell ref="X2:Z2"/>
    <mergeCell ref="AB2:AI2"/>
    <mergeCell ref="AK2:AK6"/>
    <mergeCell ref="AG3:AI3"/>
    <mergeCell ref="AP2:AQ2"/>
    <mergeCell ref="AR2:AS2"/>
    <mergeCell ref="C2:E2"/>
    <mergeCell ref="F2:H2"/>
    <mergeCell ref="I2:K2"/>
    <mergeCell ref="L2:N2"/>
    <mergeCell ref="O2:Q2"/>
    <mergeCell ref="R2:T2"/>
    <mergeCell ref="U2:W2"/>
    <mergeCell ref="A14:I1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3" max="3" width="21.75"/>
    <col customWidth="1" min="5" max="5" width="14.13"/>
  </cols>
  <sheetData>
    <row r="1">
      <c r="A1" s="28" t="s">
        <v>31</v>
      </c>
      <c r="B1" s="28" t="s">
        <v>32</v>
      </c>
      <c r="C1" s="28" t="s">
        <v>33</v>
      </c>
      <c r="D1" s="28" t="s">
        <v>34</v>
      </c>
      <c r="E1" s="277" t="s">
        <v>35</v>
      </c>
    </row>
    <row r="2">
      <c r="A2" s="30">
        <v>1.0</v>
      </c>
      <c r="B2" s="30" t="s">
        <v>36</v>
      </c>
      <c r="C2" s="31" t="s">
        <v>37</v>
      </c>
      <c r="D2" s="30">
        <v>93912.0</v>
      </c>
      <c r="E2" s="278">
        <v>45724.0</v>
      </c>
    </row>
    <row r="3">
      <c r="A3" s="33">
        <v>2.0</v>
      </c>
      <c r="B3" s="33" t="s">
        <v>38</v>
      </c>
      <c r="C3" s="8" t="s">
        <v>7</v>
      </c>
      <c r="D3" s="33">
        <v>75080.0</v>
      </c>
      <c r="E3" s="279">
        <v>45754.0</v>
      </c>
    </row>
    <row r="4">
      <c r="A4" s="30">
        <v>3.0</v>
      </c>
      <c r="B4" s="33" t="s">
        <v>39</v>
      </c>
      <c r="C4" s="8" t="s">
        <v>40</v>
      </c>
      <c r="D4" s="33">
        <v>26159.0</v>
      </c>
      <c r="E4" s="279">
        <v>45641.0</v>
      </c>
    </row>
    <row r="5">
      <c r="A5" s="33">
        <v>4.0</v>
      </c>
      <c r="B5" s="33" t="s">
        <v>41</v>
      </c>
      <c r="C5" s="8" t="s">
        <v>9</v>
      </c>
      <c r="D5" s="33">
        <v>89042.0</v>
      </c>
      <c r="E5" s="279">
        <v>45747.0</v>
      </c>
    </row>
    <row r="6">
      <c r="A6" s="30">
        <v>5.0</v>
      </c>
      <c r="B6" s="33" t="s">
        <v>42</v>
      </c>
      <c r="C6" s="8" t="s">
        <v>43</v>
      </c>
      <c r="D6" s="33">
        <v>84578.0</v>
      </c>
      <c r="E6" s="279">
        <v>45754.0</v>
      </c>
    </row>
    <row r="7">
      <c r="A7" s="33">
        <v>6.0</v>
      </c>
      <c r="B7" s="33" t="s">
        <v>44</v>
      </c>
      <c r="C7" s="8" t="s">
        <v>45</v>
      </c>
      <c r="D7" s="33">
        <v>73360.0</v>
      </c>
      <c r="E7" s="279">
        <v>45754.0</v>
      </c>
    </row>
    <row r="8">
      <c r="A8" s="30">
        <v>7.0</v>
      </c>
      <c r="B8" s="33" t="s">
        <v>46</v>
      </c>
      <c r="C8" s="8" t="s">
        <v>47</v>
      </c>
      <c r="D8" s="33">
        <v>144404.0</v>
      </c>
      <c r="E8" s="279">
        <v>45747.0</v>
      </c>
    </row>
    <row r="9">
      <c r="A9" s="33">
        <v>8.0</v>
      </c>
      <c r="B9" s="33" t="s">
        <v>48</v>
      </c>
      <c r="C9" s="8" t="s">
        <v>49</v>
      </c>
      <c r="D9" s="33">
        <v>79679.0</v>
      </c>
      <c r="E9" s="279">
        <v>45754.0</v>
      </c>
    </row>
    <row r="10">
      <c r="A10" s="30">
        <v>9.0</v>
      </c>
      <c r="B10" s="33" t="s">
        <v>50</v>
      </c>
      <c r="C10" s="8" t="s">
        <v>51</v>
      </c>
      <c r="D10" s="33">
        <v>101094.0</v>
      </c>
      <c r="E10" s="279">
        <v>45754.0</v>
      </c>
    </row>
    <row r="11">
      <c r="A11" s="33">
        <v>10.0</v>
      </c>
      <c r="B11" s="33" t="s">
        <v>52</v>
      </c>
      <c r="C11" s="8" t="s">
        <v>53</v>
      </c>
      <c r="D11" s="33">
        <v>84585.0</v>
      </c>
      <c r="E11" s="279">
        <v>45514.0</v>
      </c>
    </row>
    <row r="12">
      <c r="A12" s="30">
        <v>11.0</v>
      </c>
      <c r="B12" s="33" t="s">
        <v>54</v>
      </c>
      <c r="C12" s="8" t="s">
        <v>10</v>
      </c>
      <c r="D12" s="33">
        <v>155690.0</v>
      </c>
      <c r="E12" s="279">
        <v>45754.0</v>
      </c>
    </row>
    <row r="13">
      <c r="A13" s="33">
        <v>12.0</v>
      </c>
      <c r="B13" s="33" t="s">
        <v>55</v>
      </c>
      <c r="C13" s="8" t="s">
        <v>11</v>
      </c>
      <c r="D13" s="33">
        <v>106764.0</v>
      </c>
      <c r="E13" s="279">
        <v>45641.0</v>
      </c>
    </row>
    <row r="14">
      <c r="A14" s="30">
        <v>13.0</v>
      </c>
      <c r="B14" s="33" t="s">
        <v>56</v>
      </c>
      <c r="C14" s="8" t="s">
        <v>57</v>
      </c>
      <c r="D14" s="33">
        <v>91435.0</v>
      </c>
      <c r="E14" s="279">
        <v>45754.0</v>
      </c>
    </row>
    <row r="15">
      <c r="A15" s="33">
        <v>14.0</v>
      </c>
      <c r="B15" s="33" t="s">
        <v>58</v>
      </c>
      <c r="C15" s="8" t="s">
        <v>12</v>
      </c>
      <c r="D15" s="33">
        <v>72385.0</v>
      </c>
      <c r="E15" s="279">
        <v>45754.0</v>
      </c>
    </row>
    <row r="16">
      <c r="A16" s="30">
        <v>15.0</v>
      </c>
      <c r="B16" s="33" t="s">
        <v>59</v>
      </c>
      <c r="C16" s="8" t="s">
        <v>60</v>
      </c>
      <c r="D16" s="33">
        <v>135622.0</v>
      </c>
      <c r="E16" s="279">
        <v>45390.0</v>
      </c>
    </row>
    <row r="17">
      <c r="A17" s="33">
        <v>16.0</v>
      </c>
      <c r="B17" s="33" t="s">
        <v>61</v>
      </c>
      <c r="C17" s="8" t="s">
        <v>13</v>
      </c>
      <c r="D17" s="33">
        <v>73529.0</v>
      </c>
      <c r="E17" s="279">
        <v>45754.0</v>
      </c>
    </row>
    <row r="18">
      <c r="A18" s="30">
        <v>17.0</v>
      </c>
      <c r="B18" s="33" t="s">
        <v>62</v>
      </c>
      <c r="C18" s="8" t="s">
        <v>15</v>
      </c>
      <c r="D18" s="33">
        <v>104768.0</v>
      </c>
      <c r="E18" s="279">
        <v>45754.0</v>
      </c>
    </row>
    <row r="19">
      <c r="A19" s="33">
        <v>18.0</v>
      </c>
      <c r="B19" s="33" t="s">
        <v>63</v>
      </c>
      <c r="C19" s="8" t="s">
        <v>64</v>
      </c>
      <c r="D19" s="33">
        <v>148566.0</v>
      </c>
      <c r="E19" s="279">
        <v>45649.0</v>
      </c>
    </row>
    <row r="20">
      <c r="A20" s="30">
        <v>19.0</v>
      </c>
      <c r="B20" s="33" t="s">
        <v>65</v>
      </c>
      <c r="C20" s="8" t="s">
        <v>66</v>
      </c>
      <c r="D20" s="33">
        <v>134598.0</v>
      </c>
      <c r="E20" s="279">
        <v>45535.0</v>
      </c>
    </row>
    <row r="21">
      <c r="A21" s="33">
        <v>20.0</v>
      </c>
      <c r="B21" s="33" t="s">
        <v>67</v>
      </c>
      <c r="C21" s="8" t="s">
        <v>68</v>
      </c>
      <c r="D21" s="33">
        <v>150000.0</v>
      </c>
      <c r="E21" s="279">
        <v>45754.0</v>
      </c>
    </row>
    <row r="22">
      <c r="A22" s="30">
        <v>21.0</v>
      </c>
      <c r="B22" s="33" t="s">
        <v>69</v>
      </c>
      <c r="C22" s="8" t="s">
        <v>70</v>
      </c>
      <c r="D22" s="33">
        <v>156427.0</v>
      </c>
      <c r="E22" s="279">
        <v>45558.0</v>
      </c>
    </row>
    <row r="23">
      <c r="A23" s="33">
        <v>22.0</v>
      </c>
      <c r="B23" s="33" t="s">
        <v>71</v>
      </c>
      <c r="C23" s="8" t="s">
        <v>72</v>
      </c>
      <c r="D23" s="33">
        <v>112655.0</v>
      </c>
      <c r="E23" s="279">
        <v>45327.0</v>
      </c>
    </row>
    <row r="24">
      <c r="A24" s="30">
        <v>23.0</v>
      </c>
      <c r="B24" s="33" t="s">
        <v>73</v>
      </c>
      <c r="C24" s="8" t="s">
        <v>16</v>
      </c>
      <c r="D24" s="33">
        <v>75077.0</v>
      </c>
      <c r="E24" s="279">
        <v>45724.0</v>
      </c>
    </row>
    <row r="25">
      <c r="A25" s="33">
        <v>24.0</v>
      </c>
      <c r="B25" s="33" t="s">
        <v>74</v>
      </c>
      <c r="C25" s="8" t="s">
        <v>17</v>
      </c>
      <c r="D25" s="33">
        <v>136238.0</v>
      </c>
      <c r="E25" s="279">
        <v>45718.0</v>
      </c>
    </row>
    <row r="26">
      <c r="A26" s="30">
        <v>25.0</v>
      </c>
      <c r="B26" s="33" t="s">
        <v>75</v>
      </c>
      <c r="C26" s="8" t="s">
        <v>76</v>
      </c>
      <c r="D26" s="33">
        <v>83046.0</v>
      </c>
      <c r="E26" s="279">
        <v>45724.0</v>
      </c>
    </row>
    <row r="27">
      <c r="A27" s="33">
        <v>26.0</v>
      </c>
      <c r="B27" s="33" t="s">
        <v>77</v>
      </c>
      <c r="C27" s="8" t="s">
        <v>18</v>
      </c>
      <c r="D27" s="33">
        <v>75081.0</v>
      </c>
      <c r="E27" s="279">
        <v>45754.0</v>
      </c>
    </row>
    <row r="28">
      <c r="A28" s="30">
        <v>27.0</v>
      </c>
      <c r="B28" s="33" t="s">
        <v>78</v>
      </c>
      <c r="C28" s="8" t="s">
        <v>79</v>
      </c>
      <c r="D28" s="33">
        <v>110107.0</v>
      </c>
      <c r="E28" s="279">
        <v>45641.0</v>
      </c>
    </row>
    <row r="29">
      <c r="A29" s="33">
        <v>28.0</v>
      </c>
      <c r="B29" s="33" t="s">
        <v>80</v>
      </c>
      <c r="C29" s="8" t="s">
        <v>81</v>
      </c>
      <c r="D29" s="33">
        <v>73551.0</v>
      </c>
      <c r="E29" s="279">
        <v>45750.0</v>
      </c>
    </row>
    <row r="30">
      <c r="A30" s="30">
        <v>29.0</v>
      </c>
      <c r="B30" s="33" t="s">
        <v>82</v>
      </c>
      <c r="C30" s="8" t="s">
        <v>83</v>
      </c>
      <c r="D30" s="33">
        <v>92852.0</v>
      </c>
      <c r="E30" s="279">
        <v>45754.0</v>
      </c>
    </row>
    <row r="31">
      <c r="A31" s="33">
        <v>30.0</v>
      </c>
      <c r="B31" s="33" t="s">
        <v>84</v>
      </c>
      <c r="C31" s="8" t="s">
        <v>19</v>
      </c>
      <c r="D31" s="33">
        <v>143119.0</v>
      </c>
      <c r="E31" s="279">
        <v>45754.0</v>
      </c>
    </row>
    <row r="32">
      <c r="A32" s="30">
        <v>31.0</v>
      </c>
      <c r="B32" s="33" t="s">
        <v>85</v>
      </c>
      <c r="C32" s="8" t="s">
        <v>86</v>
      </c>
      <c r="D32" s="33">
        <v>105235.0</v>
      </c>
      <c r="E32" s="279">
        <v>45514.0</v>
      </c>
    </row>
    <row r="33">
      <c r="A33" s="33">
        <v>32.0</v>
      </c>
      <c r="B33" s="33" t="s">
        <v>87</v>
      </c>
      <c r="C33" s="8" t="s">
        <v>88</v>
      </c>
      <c r="D33" s="33">
        <v>101082.0</v>
      </c>
      <c r="E33" s="279">
        <v>45754.0</v>
      </c>
    </row>
    <row r="34">
      <c r="A34" s="30">
        <v>33.0</v>
      </c>
      <c r="B34" s="33" t="s">
        <v>89</v>
      </c>
      <c r="C34" s="8" t="s">
        <v>8</v>
      </c>
      <c r="D34" s="33">
        <v>110113.0</v>
      </c>
      <c r="E34" s="279">
        <v>45514.0</v>
      </c>
    </row>
    <row r="35">
      <c r="A35" s="33">
        <v>34.0</v>
      </c>
      <c r="B35" s="33" t="s">
        <v>90</v>
      </c>
      <c r="C35" s="8" t="s">
        <v>91</v>
      </c>
      <c r="D35" s="33">
        <v>136234.0</v>
      </c>
      <c r="E35" s="279">
        <v>45535.0</v>
      </c>
    </row>
    <row r="36">
      <c r="A36" s="30">
        <v>35.0</v>
      </c>
      <c r="B36" s="33" t="s">
        <v>92</v>
      </c>
      <c r="C36" s="8" t="s">
        <v>21</v>
      </c>
      <c r="D36" s="33">
        <v>148562.0</v>
      </c>
      <c r="E36" s="279">
        <v>45754.0</v>
      </c>
    </row>
    <row r="37">
      <c r="A37" s="33">
        <v>36.0</v>
      </c>
      <c r="B37" s="33" t="s">
        <v>93</v>
      </c>
      <c r="C37" s="8" t="s">
        <v>94</v>
      </c>
      <c r="D37" s="33">
        <v>139367.0</v>
      </c>
      <c r="E37" s="279">
        <v>45747.0</v>
      </c>
    </row>
    <row r="38">
      <c r="A38" s="30">
        <v>37.0</v>
      </c>
      <c r="B38" s="33" t="s">
        <v>95</v>
      </c>
      <c r="C38" s="8" t="s">
        <v>96</v>
      </c>
      <c r="D38" s="33">
        <v>90433.0</v>
      </c>
      <c r="E38" s="279">
        <v>45445.0</v>
      </c>
    </row>
    <row r="39">
      <c r="A39" s="33">
        <v>38.0</v>
      </c>
      <c r="B39" s="33" t="s">
        <v>97</v>
      </c>
      <c r="C39" s="8" t="s">
        <v>98</v>
      </c>
      <c r="D39" s="33">
        <v>153703.0</v>
      </c>
      <c r="E39" s="279">
        <v>45362.0</v>
      </c>
    </row>
    <row r="40">
      <c r="A40" s="30">
        <v>39.0</v>
      </c>
      <c r="B40" s="33" t="s">
        <v>99</v>
      </c>
      <c r="C40" s="8" t="s">
        <v>100</v>
      </c>
      <c r="D40" s="33">
        <v>150001.0</v>
      </c>
      <c r="E40" s="279">
        <v>45754.0</v>
      </c>
    </row>
    <row r="41">
      <c r="A41" s="33">
        <v>40.0</v>
      </c>
      <c r="B41" s="33" t="s">
        <v>101</v>
      </c>
      <c r="C41" s="8" t="s">
        <v>102</v>
      </c>
      <c r="D41" s="33">
        <v>151813.0</v>
      </c>
      <c r="E41" s="279">
        <v>45630.0</v>
      </c>
    </row>
    <row r="42">
      <c r="A42" s="30">
        <v>41.0</v>
      </c>
      <c r="B42" s="33" t="s">
        <v>103</v>
      </c>
      <c r="C42" s="8" t="s">
        <v>23</v>
      </c>
      <c r="D42" s="33">
        <v>74068.0</v>
      </c>
      <c r="E42" s="279">
        <v>45754.0</v>
      </c>
    </row>
    <row r="43">
      <c r="A43" s="33">
        <v>42.0</v>
      </c>
      <c r="B43" s="33" t="s">
        <v>104</v>
      </c>
      <c r="C43" s="8" t="s">
        <v>105</v>
      </c>
      <c r="D43" s="33">
        <v>148561.0</v>
      </c>
      <c r="E43" s="279">
        <v>45537.0</v>
      </c>
    </row>
    <row r="44">
      <c r="A44" s="30">
        <v>43.0</v>
      </c>
      <c r="B44" s="33" t="s">
        <v>106</v>
      </c>
      <c r="C44" s="8" t="s">
        <v>107</v>
      </c>
      <c r="D44" s="33">
        <v>73358.0</v>
      </c>
      <c r="E44" s="279">
        <v>45514.0</v>
      </c>
    </row>
    <row r="45">
      <c r="A45" s="33">
        <v>44.0</v>
      </c>
      <c r="B45" s="33" t="s">
        <v>108</v>
      </c>
      <c r="C45" s="8" t="s">
        <v>109</v>
      </c>
      <c r="D45" s="33">
        <v>74019.0</v>
      </c>
      <c r="E45" s="279">
        <v>45637.0</v>
      </c>
    </row>
    <row r="46">
      <c r="A46" s="30">
        <v>45.0</v>
      </c>
      <c r="B46" s="33" t="s">
        <v>110</v>
      </c>
      <c r="C46" s="8" t="s">
        <v>111</v>
      </c>
      <c r="D46" s="33">
        <v>155691.0</v>
      </c>
      <c r="E46" s="279">
        <v>45514.0</v>
      </c>
    </row>
    <row r="47">
      <c r="A47" s="33">
        <v>46.0</v>
      </c>
      <c r="B47" s="33" t="s">
        <v>112</v>
      </c>
      <c r="C47" s="8" t="s">
        <v>113</v>
      </c>
      <c r="D47" s="33">
        <v>143118.0</v>
      </c>
      <c r="E47" s="279">
        <v>45479.0</v>
      </c>
    </row>
    <row r="48">
      <c r="A48" s="30">
        <v>47.0</v>
      </c>
      <c r="B48" s="33" t="s">
        <v>114</v>
      </c>
      <c r="C48" s="8" t="s">
        <v>115</v>
      </c>
      <c r="D48" s="33">
        <v>97064.0</v>
      </c>
      <c r="E48" s="279">
        <v>45395.0</v>
      </c>
    </row>
    <row r="49">
      <c r="A49" s="33">
        <v>48.0</v>
      </c>
      <c r="B49" s="33" t="s">
        <v>116</v>
      </c>
      <c r="C49" s="8" t="s">
        <v>25</v>
      </c>
      <c r="D49" s="33">
        <v>156553.0</v>
      </c>
      <c r="E49" s="279">
        <v>45747.0</v>
      </c>
    </row>
    <row r="50">
      <c r="A50" s="30">
        <v>49.0</v>
      </c>
      <c r="B50" s="33" t="s">
        <v>117</v>
      </c>
      <c r="C50" s="8" t="s">
        <v>26</v>
      </c>
      <c r="D50" s="33">
        <v>154121.0</v>
      </c>
      <c r="E50" s="279">
        <v>45724.0</v>
      </c>
    </row>
    <row r="51">
      <c r="A51" s="33">
        <v>50.0</v>
      </c>
      <c r="B51" s="33" t="s">
        <v>118</v>
      </c>
      <c r="C51" s="8" t="s">
        <v>119</v>
      </c>
      <c r="D51" s="33">
        <v>141364.0</v>
      </c>
      <c r="E51" s="279">
        <v>45637.0</v>
      </c>
    </row>
    <row r="52">
      <c r="A52" s="30">
        <v>51.0</v>
      </c>
      <c r="B52" s="33" t="s">
        <v>120</v>
      </c>
      <c r="C52" s="8" t="s">
        <v>121</v>
      </c>
      <c r="D52" s="33">
        <v>110653.0</v>
      </c>
      <c r="E52" s="279">
        <v>45615.0</v>
      </c>
    </row>
    <row r="53">
      <c r="A53" s="33">
        <v>52.0</v>
      </c>
      <c r="B53" s="33" t="s">
        <v>122</v>
      </c>
      <c r="C53" s="8" t="s">
        <v>123</v>
      </c>
      <c r="D53" s="33">
        <v>157127.0</v>
      </c>
      <c r="E53" s="279">
        <v>45741.0</v>
      </c>
    </row>
    <row r="54">
      <c r="A54" s="30">
        <v>53.0</v>
      </c>
      <c r="B54" s="33" t="s">
        <v>124</v>
      </c>
      <c r="C54" s="8" t="s">
        <v>125</v>
      </c>
      <c r="D54" s="33">
        <v>149559.0</v>
      </c>
      <c r="E54" s="279">
        <v>45754.0</v>
      </c>
    </row>
    <row r="55">
      <c r="A55" s="33">
        <v>54.0</v>
      </c>
      <c r="B55" s="33" t="s">
        <v>126</v>
      </c>
      <c r="C55" s="8" t="s">
        <v>127</v>
      </c>
      <c r="D55" s="33">
        <v>94224.0</v>
      </c>
      <c r="E55" s="279">
        <v>45754.0</v>
      </c>
    </row>
    <row r="56">
      <c r="A56" s="30">
        <v>55.0</v>
      </c>
      <c r="B56" s="33" t="s">
        <v>128</v>
      </c>
      <c r="C56" s="8" t="s">
        <v>27</v>
      </c>
      <c r="D56" s="33">
        <v>135854.0</v>
      </c>
      <c r="E56" s="279">
        <v>45754.0</v>
      </c>
    </row>
    <row r="57">
      <c r="A57" s="33">
        <v>56.0</v>
      </c>
      <c r="B57" s="33" t="s">
        <v>129</v>
      </c>
      <c r="C57" s="8" t="s">
        <v>130</v>
      </c>
      <c r="D57" s="33">
        <v>157509.0</v>
      </c>
      <c r="E57" s="279">
        <v>45630.0</v>
      </c>
    </row>
    <row r="58">
      <c r="A58" s="30">
        <v>57.0</v>
      </c>
      <c r="B58" s="33" t="s">
        <v>131</v>
      </c>
      <c r="C58" s="8" t="s">
        <v>132</v>
      </c>
      <c r="D58" s="33">
        <v>159893.0</v>
      </c>
      <c r="E58" s="279">
        <v>45754.0</v>
      </c>
    </row>
    <row r="59">
      <c r="A59" s="33">
        <v>58.0</v>
      </c>
      <c r="B59" s="33" t="s">
        <v>133</v>
      </c>
      <c r="C59" s="8" t="s">
        <v>134</v>
      </c>
      <c r="D59" s="33">
        <v>74067.0</v>
      </c>
      <c r="E59" s="279">
        <v>45736.0</v>
      </c>
    </row>
    <row r="60">
      <c r="A60" s="30">
        <v>59.0</v>
      </c>
      <c r="B60" s="33" t="s">
        <v>135</v>
      </c>
      <c r="C60" s="8" t="s">
        <v>136</v>
      </c>
      <c r="D60" s="33">
        <v>156314.0</v>
      </c>
      <c r="E60" s="279">
        <v>45544.0</v>
      </c>
    </row>
    <row r="61">
      <c r="A61" s="33">
        <v>60.0</v>
      </c>
      <c r="B61" s="33" t="s">
        <v>137</v>
      </c>
      <c r="C61" s="8" t="s">
        <v>138</v>
      </c>
      <c r="D61" s="33">
        <v>151814.0</v>
      </c>
      <c r="E61" s="279">
        <v>45630.0</v>
      </c>
    </row>
    <row r="62">
      <c r="A62" s="30">
        <v>61.0</v>
      </c>
      <c r="B62" s="33" t="s">
        <v>139</v>
      </c>
      <c r="C62" s="8" t="s">
        <v>30</v>
      </c>
      <c r="D62" s="33">
        <v>149999.0</v>
      </c>
      <c r="E62" s="279">
        <v>45754.0</v>
      </c>
    </row>
    <row r="63">
      <c r="A63" s="33">
        <v>62.0</v>
      </c>
      <c r="B63" s="33" t="s">
        <v>140</v>
      </c>
      <c r="C63" s="8" t="s">
        <v>141</v>
      </c>
      <c r="D63" s="33">
        <v>141359.0</v>
      </c>
      <c r="E63" s="279">
        <v>45535.0</v>
      </c>
    </row>
    <row r="64">
      <c r="A64" s="30">
        <v>63.0</v>
      </c>
      <c r="B64" s="33" t="s">
        <v>142</v>
      </c>
      <c r="C64" s="8" t="s">
        <v>143</v>
      </c>
      <c r="D64" s="33">
        <v>156426.0</v>
      </c>
      <c r="E64" s="279">
        <v>45586.0</v>
      </c>
    </row>
    <row r="65">
      <c r="A65" s="33">
        <v>64.0</v>
      </c>
      <c r="B65" s="33" t="s">
        <v>144</v>
      </c>
      <c r="C65" s="8" t="s">
        <v>145</v>
      </c>
      <c r="D65" s="33">
        <v>148563.0</v>
      </c>
      <c r="E65" s="279">
        <v>45637.0</v>
      </c>
    </row>
    <row r="66">
      <c r="A66" s="30">
        <v>65.0</v>
      </c>
      <c r="B66" s="33" t="s">
        <v>146</v>
      </c>
      <c r="C66" s="8" t="s">
        <v>147</v>
      </c>
      <c r="D66" s="33">
        <v>148565.0</v>
      </c>
      <c r="E66" s="279">
        <v>45637.0</v>
      </c>
    </row>
    <row r="67">
      <c r="A67" s="33">
        <v>66.0</v>
      </c>
      <c r="B67" s="33" t="s">
        <v>148</v>
      </c>
      <c r="C67" s="8" t="s">
        <v>149</v>
      </c>
      <c r="D67" s="33">
        <v>144579.0</v>
      </c>
      <c r="E67" s="279">
        <v>45724.0</v>
      </c>
    </row>
    <row r="68">
      <c r="A68" s="30">
        <v>67.0</v>
      </c>
      <c r="B68" s="35" t="s">
        <v>150</v>
      </c>
      <c r="C68" s="25" t="s">
        <v>151</v>
      </c>
      <c r="D68" s="35">
        <v>148564.0</v>
      </c>
      <c r="E68" s="280">
        <v>45637.0</v>
      </c>
    </row>
    <row r="69">
      <c r="C69" s="8" t="s">
        <v>20</v>
      </c>
    </row>
    <row r="70">
      <c r="C70" s="8" t="s">
        <v>247</v>
      </c>
    </row>
    <row r="71">
      <c r="C71" s="8" t="s">
        <v>24</v>
      </c>
    </row>
  </sheetData>
  <autoFilter ref="$A$1:$E$68">
    <sortState ref="A1:E68">
      <sortCondition ref="A1:A68"/>
      <sortCondition descending="1" ref="E1:E68"/>
    </sortState>
  </autoFilter>
  <drawing r:id="rId1"/>
</worksheet>
</file>